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erozenberg\Documents\GitHub\growth_distribution_model\ssp_data\"/>
    </mc:Choice>
  </mc:AlternateContent>
  <bookViews>
    <workbookView xWindow="0" yWindow="0" windowWidth="19200" windowHeight="6888"/>
  </bookViews>
  <sheets>
    <sheet name="data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V30" i="1" l="1"/>
  <c r="P30" i="1"/>
  <c r="L30" i="1"/>
  <c r="V29" i="1"/>
  <c r="P29" i="1"/>
  <c r="L29" i="1"/>
  <c r="H2" i="2" l="1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</calcChain>
</file>

<file path=xl/sharedStrings.xml><?xml version="1.0" encoding="utf-8"?>
<sst xmlns="http://schemas.openxmlformats.org/spreadsheetml/2006/main" count="263" uniqueCount="20">
  <si>
    <t>Model</t>
  </si>
  <si>
    <t>Scenario</t>
  </si>
  <si>
    <t>Region</t>
  </si>
  <si>
    <t>Variable</t>
  </si>
  <si>
    <t>Unit</t>
  </si>
  <si>
    <t>Notes</t>
  </si>
  <si>
    <t>OECD Env-Growth</t>
  </si>
  <si>
    <t>SSP1_v9_130325</t>
  </si>
  <si>
    <t>R5ASIA</t>
  </si>
  <si>
    <t>GDP|PPP</t>
  </si>
  <si>
    <t>billion US$2005/yr</t>
  </si>
  <si>
    <t>SSP2_v9_130325</t>
  </si>
  <si>
    <t>SSP3_v9_130325</t>
  </si>
  <si>
    <t>SSP4_v9_130325</t>
  </si>
  <si>
    <t>SSP5_v9_130325</t>
  </si>
  <si>
    <t>R5LAM</t>
  </si>
  <si>
    <t>R5MAF</t>
  </si>
  <si>
    <t>R5OECD</t>
  </si>
  <si>
    <t>R5REF</t>
  </si>
  <si>
    <t>© SSP Database (Version 0.9.3) https://secure.iiasa.ac.at/web-apps/ene/SSPDB 
A detailed region/courty code to name mapping table is available at https://secure.iiasa.ac.at/web-apps/ene/SspDb/static/download/ISO3166-1_codes_and_country_names.xlsx 
 generated: 2014-07-31 18:22:41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</si>
</sst>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164" fontId="0" fillId="0" borderId="0" xfId="0" applyNumberFormat="1"/>
    <xf numFmtId="0" fontId="0" fillId="3" borderId="0" xfId="0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tabSelected="1" topLeftCell="B1" workbookViewId="0">
      <selection activeCell="V30" sqref="V30"/>
    </sheetView>
  </sheetViews>
  <sheetFormatPr defaultRowHeight="14.4" x14ac:dyDescent="0.55000000000000004"/>
  <cols>
    <col min="1" max="5" width="18.734375" customWidth="1"/>
    <col min="12" max="12" width="10.15625" bestFit="1" customWidth="1"/>
    <col min="16" max="16" width="15.7890625" customWidth="1"/>
    <col min="27" max="27" width="18.734375" customWidth="1"/>
  </cols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2000</v>
      </c>
      <c r="G1" s="1">
        <v>2005</v>
      </c>
      <c r="H1" s="1">
        <v>2010</v>
      </c>
      <c r="I1" s="1">
        <v>2015</v>
      </c>
      <c r="J1" s="1">
        <v>2020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  <c r="AA1" s="1" t="s">
        <v>5</v>
      </c>
    </row>
    <row r="2" spans="1:27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8422.6550000000025</v>
      </c>
      <c r="G2" s="3">
        <v>11991.359000000004</v>
      </c>
      <c r="H2" s="3">
        <v>18086.202999999994</v>
      </c>
      <c r="I2" s="3">
        <v>25518.520000000008</v>
      </c>
      <c r="J2" s="3">
        <v>36046.279999999992</v>
      </c>
      <c r="K2" s="3">
        <v>49543.828999999998</v>
      </c>
      <c r="L2" s="3">
        <v>65745.524000000005</v>
      </c>
      <c r="M2" s="3">
        <v>83819.859999999971</v>
      </c>
      <c r="N2" s="3">
        <v>102371.58099999999</v>
      </c>
      <c r="O2" s="3">
        <v>120625.69899999999</v>
      </c>
      <c r="P2" s="3">
        <v>137480.97499999998</v>
      </c>
      <c r="Q2" s="3">
        <v>152675.15499999994</v>
      </c>
      <c r="R2" s="3">
        <v>166674.62199999997</v>
      </c>
      <c r="S2" s="3">
        <v>179291.226</v>
      </c>
      <c r="T2" s="3">
        <v>190204.50399999996</v>
      </c>
      <c r="U2" s="3">
        <v>199109.31499999997</v>
      </c>
      <c r="V2" s="3">
        <v>206706.47200000001</v>
      </c>
      <c r="W2" s="3">
        <v>212739.20899999997</v>
      </c>
      <c r="X2" s="3">
        <v>217323.22199999998</v>
      </c>
      <c r="Y2" s="3">
        <v>220494.03599999996</v>
      </c>
      <c r="Z2" s="3">
        <v>222048.63700000002</v>
      </c>
    </row>
    <row r="3" spans="1:27" x14ac:dyDescent="0.55000000000000004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>
        <v>8422.6550000000025</v>
      </c>
      <c r="G3" s="3">
        <v>11991.359000000004</v>
      </c>
      <c r="H3" s="3">
        <v>18086.202999999994</v>
      </c>
      <c r="I3" s="3">
        <v>25607.547000000002</v>
      </c>
      <c r="J3" s="3">
        <v>35945.205000000002</v>
      </c>
      <c r="K3" s="3">
        <v>47440.557000000008</v>
      </c>
      <c r="L3" s="3">
        <v>58984.525999999991</v>
      </c>
      <c r="M3" s="3">
        <v>70084.657999999981</v>
      </c>
      <c r="N3" s="3">
        <v>81302.981999999975</v>
      </c>
      <c r="O3" s="3">
        <v>92597.47199999998</v>
      </c>
      <c r="P3" s="3">
        <v>103558.38900000002</v>
      </c>
      <c r="Q3" s="3">
        <v>114222.41499999999</v>
      </c>
      <c r="R3" s="3">
        <v>125074.59100000004</v>
      </c>
      <c r="S3" s="3">
        <v>136077.41300000003</v>
      </c>
      <c r="T3" s="3">
        <v>147165.99600000001</v>
      </c>
      <c r="U3" s="3">
        <v>158146.772</v>
      </c>
      <c r="V3" s="3">
        <v>169164.38800000004</v>
      </c>
      <c r="W3" s="3">
        <v>180041.875</v>
      </c>
      <c r="X3" s="3">
        <v>190918.35400000002</v>
      </c>
      <c r="Y3" s="3">
        <v>201834.62200000003</v>
      </c>
      <c r="Z3" s="3">
        <v>212705.51400000002</v>
      </c>
    </row>
    <row r="4" spans="1:27" x14ac:dyDescent="0.55000000000000004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F4" s="3">
        <v>8422.6550000000025</v>
      </c>
      <c r="G4" s="3">
        <v>11991.359000000004</v>
      </c>
      <c r="H4" s="3">
        <v>18086.202999999994</v>
      </c>
      <c r="I4" s="3">
        <v>25668.052999999996</v>
      </c>
      <c r="J4" s="3">
        <v>35927.701999999997</v>
      </c>
      <c r="K4" s="3">
        <v>46127.721999999987</v>
      </c>
      <c r="L4" s="3">
        <v>54784.871999999996</v>
      </c>
      <c r="M4" s="3">
        <v>61378.747000000003</v>
      </c>
      <c r="N4" s="3">
        <v>67096.992000000013</v>
      </c>
      <c r="O4" s="3">
        <v>72053.237000000023</v>
      </c>
      <c r="P4" s="3">
        <v>76075.045000000013</v>
      </c>
      <c r="Q4" s="3">
        <v>79443.656999999977</v>
      </c>
      <c r="R4" s="3">
        <v>82717.72099999999</v>
      </c>
      <c r="S4" s="3">
        <v>86008.084000000003</v>
      </c>
      <c r="T4" s="3">
        <v>89370.102999999988</v>
      </c>
      <c r="U4" s="3">
        <v>92756.07799999998</v>
      </c>
      <c r="V4" s="3">
        <v>96205.703999999998</v>
      </c>
      <c r="W4" s="3">
        <v>99644.455999999991</v>
      </c>
      <c r="X4" s="3">
        <v>103242.02400000002</v>
      </c>
      <c r="Y4" s="3">
        <v>107070.30900000002</v>
      </c>
      <c r="Z4" s="3">
        <v>111199.14999999998</v>
      </c>
    </row>
    <row r="5" spans="1:27" x14ac:dyDescent="0.55000000000000004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F5" s="3">
        <v>8422.6550000000025</v>
      </c>
      <c r="G5" s="3">
        <v>11991.359000000004</v>
      </c>
      <c r="H5" s="3">
        <v>18086.202999999994</v>
      </c>
      <c r="I5" s="3">
        <v>25538.677999999993</v>
      </c>
      <c r="J5" s="3">
        <v>35704.74</v>
      </c>
      <c r="K5" s="3">
        <v>46840.535000000003</v>
      </c>
      <c r="L5" s="3">
        <v>58053.348000000005</v>
      </c>
      <c r="M5" s="3">
        <v>68513.055000000008</v>
      </c>
      <c r="N5" s="3">
        <v>78455.387000000017</v>
      </c>
      <c r="O5" s="3">
        <v>87661.633000000002</v>
      </c>
      <c r="P5" s="3">
        <v>95651.663999999975</v>
      </c>
      <c r="Q5" s="3">
        <v>102475.44400000002</v>
      </c>
      <c r="R5" s="3">
        <v>108662.997</v>
      </c>
      <c r="S5" s="3">
        <v>114030.53600000002</v>
      </c>
      <c r="T5" s="3">
        <v>118483.38400000001</v>
      </c>
      <c r="U5" s="3">
        <v>121899.67800000006</v>
      </c>
      <c r="V5" s="3">
        <v>124720.61399999999</v>
      </c>
      <c r="W5" s="3">
        <v>126856.21600000003</v>
      </c>
      <c r="X5" s="3">
        <v>128565.98400000003</v>
      </c>
      <c r="Y5" s="3">
        <v>129973.64900000002</v>
      </c>
      <c r="Z5" s="3">
        <v>131008.68899999998</v>
      </c>
    </row>
    <row r="6" spans="1:27" x14ac:dyDescent="0.55000000000000004">
      <c r="A6" s="2" t="s">
        <v>6</v>
      </c>
      <c r="B6" s="2" t="s">
        <v>14</v>
      </c>
      <c r="C6" s="2" t="s">
        <v>8</v>
      </c>
      <c r="D6" s="2" t="s">
        <v>9</v>
      </c>
      <c r="E6" s="2" t="s">
        <v>10</v>
      </c>
      <c r="F6" s="3">
        <v>8422.6550000000025</v>
      </c>
      <c r="G6" s="3">
        <v>11991.359000000004</v>
      </c>
      <c r="H6" s="3">
        <v>18086.202999999994</v>
      </c>
      <c r="I6" s="3">
        <v>25522.99500000001</v>
      </c>
      <c r="J6" s="3">
        <v>36363.310000000019</v>
      </c>
      <c r="K6" s="3">
        <v>51870.711000000018</v>
      </c>
      <c r="L6" s="3">
        <v>72321.873000000007</v>
      </c>
      <c r="M6" s="3">
        <v>96438.622000000003</v>
      </c>
      <c r="N6" s="3">
        <v>121677.63099999999</v>
      </c>
      <c r="O6" s="3">
        <v>147227.45699999997</v>
      </c>
      <c r="P6" s="3">
        <v>171847.641</v>
      </c>
      <c r="Q6" s="3">
        <v>195381.53600000005</v>
      </c>
      <c r="R6" s="3">
        <v>218530.2220000001</v>
      </c>
      <c r="S6" s="3">
        <v>241032.06699999986</v>
      </c>
      <c r="T6" s="3">
        <v>262342.24</v>
      </c>
      <c r="U6" s="3">
        <v>281975.56500000018</v>
      </c>
      <c r="V6" s="3">
        <v>300818.82799999998</v>
      </c>
      <c r="W6" s="3">
        <v>318419.4279999999</v>
      </c>
      <c r="X6" s="3">
        <v>334812.89500000002</v>
      </c>
      <c r="Y6" s="3">
        <v>349920.42199999996</v>
      </c>
      <c r="Z6" s="3">
        <v>363259.66300000012</v>
      </c>
    </row>
    <row r="7" spans="1:27" x14ac:dyDescent="0.55000000000000004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>
        <v>4226.4420000000009</v>
      </c>
      <c r="G7" s="3">
        <v>4806.5889999999999</v>
      </c>
      <c r="H7" s="3">
        <v>5834.3549999999996</v>
      </c>
      <c r="I7" s="3">
        <v>7007.4299999999985</v>
      </c>
      <c r="J7" s="3">
        <v>8432.6969999999983</v>
      </c>
      <c r="K7" s="3">
        <v>10129.937999999996</v>
      </c>
      <c r="L7" s="3">
        <v>12188.831999999999</v>
      </c>
      <c r="M7" s="3">
        <v>14615.307000000004</v>
      </c>
      <c r="N7" s="3">
        <v>17270.084999999995</v>
      </c>
      <c r="O7" s="3">
        <v>20045.085999999996</v>
      </c>
      <c r="P7" s="3">
        <v>22838.098999999998</v>
      </c>
      <c r="Q7" s="3">
        <v>25612.763000000006</v>
      </c>
      <c r="R7" s="3">
        <v>28312.167000000001</v>
      </c>
      <c r="S7" s="3">
        <v>30870.339</v>
      </c>
      <c r="T7" s="3">
        <v>33213.262000000002</v>
      </c>
      <c r="U7" s="3">
        <v>35334.558999999987</v>
      </c>
      <c r="V7" s="3">
        <v>37264.892</v>
      </c>
      <c r="W7" s="3">
        <v>38952.820999999989</v>
      </c>
      <c r="X7" s="3">
        <v>40356.045999999995</v>
      </c>
      <c r="Y7" s="3">
        <v>41464.577000000005</v>
      </c>
      <c r="Z7" s="3">
        <v>42220.436999999998</v>
      </c>
    </row>
    <row r="8" spans="1:27" x14ac:dyDescent="0.55000000000000004">
      <c r="A8" s="2" t="s">
        <v>6</v>
      </c>
      <c r="B8" s="2" t="s">
        <v>11</v>
      </c>
      <c r="C8" s="2" t="s">
        <v>15</v>
      </c>
      <c r="D8" s="2" t="s">
        <v>9</v>
      </c>
      <c r="E8" s="2" t="s">
        <v>10</v>
      </c>
      <c r="F8" s="3">
        <v>4226.4420000000009</v>
      </c>
      <c r="G8" s="3">
        <v>4806.5889999999999</v>
      </c>
      <c r="H8" s="3">
        <v>5834.3549999999996</v>
      </c>
      <c r="I8" s="3">
        <v>7041.8189999999995</v>
      </c>
      <c r="J8" s="3">
        <v>8505.6449999999986</v>
      </c>
      <c r="K8" s="3">
        <v>10063.083000000001</v>
      </c>
      <c r="L8" s="3">
        <v>11694.894999999997</v>
      </c>
      <c r="M8" s="3">
        <v>13394.153000000004</v>
      </c>
      <c r="N8" s="3">
        <v>15205.640999999998</v>
      </c>
      <c r="O8" s="3">
        <v>17129.076999999997</v>
      </c>
      <c r="P8" s="3">
        <v>19164.199000000001</v>
      </c>
      <c r="Q8" s="3">
        <v>21322.418000000005</v>
      </c>
      <c r="R8" s="3">
        <v>23585.221000000005</v>
      </c>
      <c r="S8" s="3">
        <v>25947.976000000006</v>
      </c>
      <c r="T8" s="3">
        <v>28399.501999999997</v>
      </c>
      <c r="U8" s="3">
        <v>30950.556000000008</v>
      </c>
      <c r="V8" s="3">
        <v>33579.753000000004</v>
      </c>
      <c r="W8" s="3">
        <v>36275.499999999993</v>
      </c>
      <c r="X8" s="3">
        <v>39041.147000000012</v>
      </c>
      <c r="Y8" s="3">
        <v>41880.11</v>
      </c>
      <c r="Z8" s="3">
        <v>44778.460000000006</v>
      </c>
    </row>
    <row r="9" spans="1:27" x14ac:dyDescent="0.55000000000000004">
      <c r="A9" s="2" t="s">
        <v>6</v>
      </c>
      <c r="B9" s="2" t="s">
        <v>12</v>
      </c>
      <c r="C9" s="2" t="s">
        <v>15</v>
      </c>
      <c r="D9" s="2" t="s">
        <v>9</v>
      </c>
      <c r="E9" s="2" t="s">
        <v>10</v>
      </c>
      <c r="F9" s="3">
        <v>4226.4420000000009</v>
      </c>
      <c r="G9" s="3">
        <v>4806.5889999999999</v>
      </c>
      <c r="H9" s="3">
        <v>5834.3549999999996</v>
      </c>
      <c r="I9" s="3">
        <v>7080.9929999999986</v>
      </c>
      <c r="J9" s="3">
        <v>8601.7910000000011</v>
      </c>
      <c r="K9" s="3">
        <v>10053.301000000003</v>
      </c>
      <c r="L9" s="3">
        <v>11376.482</v>
      </c>
      <c r="M9" s="3">
        <v>12552.829</v>
      </c>
      <c r="N9" s="3">
        <v>13693.784000000001</v>
      </c>
      <c r="O9" s="3">
        <v>14802.346</v>
      </c>
      <c r="P9" s="3">
        <v>15894.360999999999</v>
      </c>
      <c r="Q9" s="3">
        <v>16998.453999999998</v>
      </c>
      <c r="R9" s="3">
        <v>18119.786000000004</v>
      </c>
      <c r="S9" s="3">
        <v>19274.952000000001</v>
      </c>
      <c r="T9" s="3">
        <v>20472.851000000002</v>
      </c>
      <c r="U9" s="3">
        <v>21727.258999999998</v>
      </c>
      <c r="V9" s="3">
        <v>23002.234</v>
      </c>
      <c r="W9" s="3">
        <v>24285.161</v>
      </c>
      <c r="X9" s="3">
        <v>25600.006000000001</v>
      </c>
      <c r="Y9" s="3">
        <v>26960.927000000003</v>
      </c>
      <c r="Z9" s="3">
        <v>28384.308999999994</v>
      </c>
    </row>
    <row r="10" spans="1:27" x14ac:dyDescent="0.55000000000000004">
      <c r="A10" s="2" t="s">
        <v>6</v>
      </c>
      <c r="B10" s="2" t="s">
        <v>13</v>
      </c>
      <c r="C10" s="2" t="s">
        <v>15</v>
      </c>
      <c r="D10" s="2" t="s">
        <v>9</v>
      </c>
      <c r="E10" s="2" t="s">
        <v>10</v>
      </c>
      <c r="F10" s="3">
        <v>4226.4420000000009</v>
      </c>
      <c r="G10" s="3">
        <v>4806.5889999999999</v>
      </c>
      <c r="H10" s="3">
        <v>5834.3549999999996</v>
      </c>
      <c r="I10" s="3">
        <v>7021.001000000002</v>
      </c>
      <c r="J10" s="3">
        <v>8431.8429999999989</v>
      </c>
      <c r="K10" s="3">
        <v>9866.252999999997</v>
      </c>
      <c r="L10" s="3">
        <v>11377.273999999998</v>
      </c>
      <c r="M10" s="3">
        <v>12921.869000000002</v>
      </c>
      <c r="N10" s="3">
        <v>14487.364</v>
      </c>
      <c r="O10" s="3">
        <v>16043.879000000001</v>
      </c>
      <c r="P10" s="3">
        <v>17600.329000000002</v>
      </c>
      <c r="Q10" s="3">
        <v>19183.107</v>
      </c>
      <c r="R10" s="3">
        <v>20778.470999999998</v>
      </c>
      <c r="S10" s="3">
        <v>22340.928999999996</v>
      </c>
      <c r="T10" s="3">
        <v>23839.543999999998</v>
      </c>
      <c r="U10" s="3">
        <v>25290.292000000005</v>
      </c>
      <c r="V10" s="3">
        <v>26698.565000000002</v>
      </c>
      <c r="W10" s="3">
        <v>28049.437999999998</v>
      </c>
      <c r="X10" s="3">
        <v>29365.841999999997</v>
      </c>
      <c r="Y10" s="3">
        <v>30664.321000000007</v>
      </c>
      <c r="Z10" s="3">
        <v>31922.239000000009</v>
      </c>
    </row>
    <row r="11" spans="1:27" x14ac:dyDescent="0.55000000000000004">
      <c r="A11" s="2" t="s">
        <v>6</v>
      </c>
      <c r="B11" s="2" t="s">
        <v>14</v>
      </c>
      <c r="C11" s="2" t="s">
        <v>15</v>
      </c>
      <c r="D11" s="2" t="s">
        <v>9</v>
      </c>
      <c r="E11" s="2" t="s">
        <v>10</v>
      </c>
      <c r="F11" s="3">
        <v>4226.4420000000009</v>
      </c>
      <c r="G11" s="3">
        <v>4806.5889999999999</v>
      </c>
      <c r="H11" s="3">
        <v>5834.3549999999996</v>
      </c>
      <c r="I11" s="3">
        <v>6998.2430000000004</v>
      </c>
      <c r="J11" s="3">
        <v>8422.9570000000003</v>
      </c>
      <c r="K11" s="3">
        <v>10291.661000000002</v>
      </c>
      <c r="L11" s="3">
        <v>12826.043999999998</v>
      </c>
      <c r="M11" s="3">
        <v>16038.407999999994</v>
      </c>
      <c r="N11" s="3">
        <v>19632.067999999996</v>
      </c>
      <c r="O11" s="3">
        <v>23487.254999999997</v>
      </c>
      <c r="P11" s="3">
        <v>27492.448</v>
      </c>
      <c r="Q11" s="3">
        <v>31621.466</v>
      </c>
      <c r="R11" s="3">
        <v>35809.732000000004</v>
      </c>
      <c r="S11" s="3">
        <v>39987.642999999996</v>
      </c>
      <c r="T11" s="3">
        <v>44049.976000000002</v>
      </c>
      <c r="U11" s="3">
        <v>47998.936999999998</v>
      </c>
      <c r="V11" s="3">
        <v>51894.167000000016</v>
      </c>
      <c r="W11" s="3">
        <v>55667.643000000011</v>
      </c>
      <c r="X11" s="3">
        <v>59252.60500000001</v>
      </c>
      <c r="Y11" s="3">
        <v>62624.553999999989</v>
      </c>
      <c r="Z11" s="3">
        <v>65673.133000000002</v>
      </c>
    </row>
    <row r="12" spans="1:27" x14ac:dyDescent="0.55000000000000004">
      <c r="A12" s="2" t="s">
        <v>6</v>
      </c>
      <c r="B12" s="2" t="s">
        <v>7</v>
      </c>
      <c r="C12" s="2" t="s">
        <v>16</v>
      </c>
      <c r="D12" s="2" t="s">
        <v>9</v>
      </c>
      <c r="E12" s="2" t="s">
        <v>10</v>
      </c>
      <c r="F12" s="3">
        <v>3397.5970000000002</v>
      </c>
      <c r="G12" s="3">
        <v>4227.0219999999999</v>
      </c>
      <c r="H12" s="3">
        <v>5338.2649999999994</v>
      </c>
      <c r="I12" s="3">
        <v>6619.8060000000005</v>
      </c>
      <c r="J12" s="3">
        <v>8439.8639999999996</v>
      </c>
      <c r="K12" s="3">
        <v>10809.506999999998</v>
      </c>
      <c r="L12" s="3">
        <v>14008.704999999998</v>
      </c>
      <c r="M12" s="3">
        <v>18134.448999999997</v>
      </c>
      <c r="N12" s="3">
        <v>23219.774000000009</v>
      </c>
      <c r="O12" s="3">
        <v>29335.988000000001</v>
      </c>
      <c r="P12" s="3">
        <v>36530.050999999999</v>
      </c>
      <c r="Q12" s="3">
        <v>44965.24</v>
      </c>
      <c r="R12" s="3">
        <v>54754.791999999979</v>
      </c>
      <c r="S12" s="3">
        <v>65800.163000000015</v>
      </c>
      <c r="T12" s="3">
        <v>77800.012999999992</v>
      </c>
      <c r="U12" s="3">
        <v>90487.929999999964</v>
      </c>
      <c r="V12" s="3">
        <v>103785.69299999998</v>
      </c>
      <c r="W12" s="3">
        <v>117449.558</v>
      </c>
      <c r="X12" s="3">
        <v>131235.49899999998</v>
      </c>
      <c r="Y12" s="3">
        <v>144871.644</v>
      </c>
      <c r="Z12" s="3">
        <v>157911.12800000003</v>
      </c>
    </row>
    <row r="13" spans="1:27" x14ac:dyDescent="0.55000000000000004">
      <c r="A13" s="2" t="s">
        <v>6</v>
      </c>
      <c r="B13" s="2" t="s">
        <v>11</v>
      </c>
      <c r="C13" s="2" t="s">
        <v>16</v>
      </c>
      <c r="D13" s="2" t="s">
        <v>9</v>
      </c>
      <c r="E13" s="2" t="s">
        <v>10</v>
      </c>
      <c r="F13" s="3">
        <v>3397.5970000000002</v>
      </c>
      <c r="G13" s="3">
        <v>4227.0219999999999</v>
      </c>
      <c r="H13" s="3">
        <v>5338.271999999999</v>
      </c>
      <c r="I13" s="3">
        <v>6660.2420000000011</v>
      </c>
      <c r="J13" s="3">
        <v>8519.8289999999997</v>
      </c>
      <c r="K13" s="3">
        <v>10756.892000000003</v>
      </c>
      <c r="L13" s="3">
        <v>13420.344999999998</v>
      </c>
      <c r="M13" s="3">
        <v>16471.190000000006</v>
      </c>
      <c r="N13" s="3">
        <v>20070.99600000001</v>
      </c>
      <c r="O13" s="3">
        <v>24292.165000000001</v>
      </c>
      <c r="P13" s="3">
        <v>29235.147000000004</v>
      </c>
      <c r="Q13" s="3">
        <v>35115.519999999997</v>
      </c>
      <c r="R13" s="3">
        <v>42121.866000000009</v>
      </c>
      <c r="S13" s="3">
        <v>50387.756999999998</v>
      </c>
      <c r="T13" s="3">
        <v>59963.544999999998</v>
      </c>
      <c r="U13" s="3">
        <v>70902.993000000002</v>
      </c>
      <c r="V13" s="3">
        <v>83277.091</v>
      </c>
      <c r="W13" s="3">
        <v>97121.963999999993</v>
      </c>
      <c r="X13" s="3">
        <v>112474.56899999996</v>
      </c>
      <c r="Y13" s="3">
        <v>129286.71800000001</v>
      </c>
      <c r="Z13" s="3">
        <v>147428.89499999999</v>
      </c>
    </row>
    <row r="14" spans="1:27" x14ac:dyDescent="0.55000000000000004">
      <c r="A14" s="2" t="s">
        <v>6</v>
      </c>
      <c r="B14" s="2" t="s">
        <v>12</v>
      </c>
      <c r="C14" s="2" t="s">
        <v>16</v>
      </c>
      <c r="D14" s="2" t="s">
        <v>9</v>
      </c>
      <c r="E14" s="2" t="s">
        <v>10</v>
      </c>
      <c r="F14" s="3">
        <v>3397.5970000000002</v>
      </c>
      <c r="G14" s="3">
        <v>4227.0219999999999</v>
      </c>
      <c r="H14" s="3">
        <v>5338.2289999999994</v>
      </c>
      <c r="I14" s="3">
        <v>6660.1159999999982</v>
      </c>
      <c r="J14" s="3">
        <v>8506.7400000000016</v>
      </c>
      <c r="K14" s="3">
        <v>10570.989</v>
      </c>
      <c r="L14" s="3">
        <v>12839.389999999996</v>
      </c>
      <c r="M14" s="3">
        <v>15203.202000000001</v>
      </c>
      <c r="N14" s="3">
        <v>17699.773000000001</v>
      </c>
      <c r="O14" s="3">
        <v>20275.021000000004</v>
      </c>
      <c r="P14" s="3">
        <v>22927.465</v>
      </c>
      <c r="Q14" s="3">
        <v>25779.279000000006</v>
      </c>
      <c r="R14" s="3">
        <v>28956.600000000002</v>
      </c>
      <c r="S14" s="3">
        <v>32544.521999999997</v>
      </c>
      <c r="T14" s="3">
        <v>36553.671999999999</v>
      </c>
      <c r="U14" s="3">
        <v>41049.282999999996</v>
      </c>
      <c r="V14" s="3">
        <v>46023.677000000003</v>
      </c>
      <c r="W14" s="3">
        <v>51469.426999999981</v>
      </c>
      <c r="X14" s="3">
        <v>57397.784</v>
      </c>
      <c r="Y14" s="3">
        <v>63813.273000000008</v>
      </c>
      <c r="Z14" s="3">
        <v>70717.37999999999</v>
      </c>
    </row>
    <row r="15" spans="1:27" x14ac:dyDescent="0.55000000000000004">
      <c r="A15" s="2" t="s">
        <v>6</v>
      </c>
      <c r="B15" s="2" t="s">
        <v>13</v>
      </c>
      <c r="C15" s="2" t="s">
        <v>16</v>
      </c>
      <c r="D15" s="2" t="s">
        <v>9</v>
      </c>
      <c r="E15" s="2" t="s">
        <v>10</v>
      </c>
      <c r="F15" s="3">
        <v>3397.5970000000002</v>
      </c>
      <c r="G15" s="3">
        <v>4227.0219999999999</v>
      </c>
      <c r="H15" s="3">
        <v>5338.271999999999</v>
      </c>
      <c r="I15" s="3">
        <v>6664.0989999999983</v>
      </c>
      <c r="J15" s="3">
        <v>8510.65</v>
      </c>
      <c r="K15" s="3">
        <v>10639.389999999996</v>
      </c>
      <c r="L15" s="3">
        <v>13118.625000000002</v>
      </c>
      <c r="M15" s="3">
        <v>15791.011999999999</v>
      </c>
      <c r="N15" s="3">
        <v>18621.883000000009</v>
      </c>
      <c r="O15" s="3">
        <v>21526.342000000001</v>
      </c>
      <c r="P15" s="3">
        <v>24468.389999999996</v>
      </c>
      <c r="Q15" s="3">
        <v>27551.655999999992</v>
      </c>
      <c r="R15" s="3">
        <v>30857.831999999995</v>
      </c>
      <c r="S15" s="3">
        <v>34408.245999999999</v>
      </c>
      <c r="T15" s="3">
        <v>38179.945999999982</v>
      </c>
      <c r="U15" s="3">
        <v>42188.234999999986</v>
      </c>
      <c r="V15" s="3">
        <v>46457.724000000002</v>
      </c>
      <c r="W15" s="3">
        <v>50995.439000000006</v>
      </c>
      <c r="X15" s="3">
        <v>55832.394000000008</v>
      </c>
      <c r="Y15" s="3">
        <v>60984.788000000008</v>
      </c>
      <c r="Z15" s="3">
        <v>66439.293999999994</v>
      </c>
    </row>
    <row r="16" spans="1:27" x14ac:dyDescent="0.55000000000000004">
      <c r="A16" s="2" t="s">
        <v>6</v>
      </c>
      <c r="B16" s="2" t="s">
        <v>14</v>
      </c>
      <c r="C16" s="2" t="s">
        <v>16</v>
      </c>
      <c r="D16" s="2" t="s">
        <v>9</v>
      </c>
      <c r="E16" s="2" t="s">
        <v>10</v>
      </c>
      <c r="F16" s="3">
        <v>3397.5970000000002</v>
      </c>
      <c r="G16" s="3">
        <v>4227.0219999999999</v>
      </c>
      <c r="H16" s="3">
        <v>5338.3169999999991</v>
      </c>
      <c r="I16" s="3">
        <v>6650.0950000000021</v>
      </c>
      <c r="J16" s="3">
        <v>8553.3789999999972</v>
      </c>
      <c r="K16" s="3">
        <v>11303.151999999998</v>
      </c>
      <c r="L16" s="3">
        <v>15374.322000000009</v>
      </c>
      <c r="M16" s="3">
        <v>21064.870000000003</v>
      </c>
      <c r="N16" s="3">
        <v>28319.089</v>
      </c>
      <c r="O16" s="3">
        <v>37208.376999999993</v>
      </c>
      <c r="P16" s="3">
        <v>47823.32</v>
      </c>
      <c r="Q16" s="3">
        <v>60463.31500000001</v>
      </c>
      <c r="R16" s="3">
        <v>75411.295999999988</v>
      </c>
      <c r="S16" s="3">
        <v>92711.919000000009</v>
      </c>
      <c r="T16" s="3">
        <v>112087.24199999998</v>
      </c>
      <c r="U16" s="3">
        <v>133345.86499999996</v>
      </c>
      <c r="V16" s="3">
        <v>156553.28699999998</v>
      </c>
      <c r="W16" s="3">
        <v>181513.60700000002</v>
      </c>
      <c r="X16" s="3">
        <v>207998.99899999995</v>
      </c>
      <c r="Y16" s="3">
        <v>235713.65600000005</v>
      </c>
      <c r="Z16" s="3">
        <v>264023.42599999992</v>
      </c>
    </row>
    <row r="17" spans="1:27" x14ac:dyDescent="0.55000000000000004">
      <c r="A17" s="2" t="s">
        <v>6</v>
      </c>
      <c r="B17" s="2" t="s">
        <v>7</v>
      </c>
      <c r="C17" s="2" t="s">
        <v>17</v>
      </c>
      <c r="D17" s="2" t="s">
        <v>9</v>
      </c>
      <c r="E17" s="2" t="s">
        <v>10</v>
      </c>
      <c r="F17" s="3">
        <v>28472.737000000008</v>
      </c>
      <c r="G17" s="3">
        <v>31550.083000000006</v>
      </c>
      <c r="H17" s="3">
        <v>32818.625</v>
      </c>
      <c r="I17" s="3">
        <v>36224.307000000001</v>
      </c>
      <c r="J17" s="3">
        <v>40732.182999999997</v>
      </c>
      <c r="K17" s="3">
        <v>45410.706000000006</v>
      </c>
      <c r="L17" s="3">
        <v>50501.177000000003</v>
      </c>
      <c r="M17" s="3">
        <v>55943.239999999991</v>
      </c>
      <c r="N17" s="3">
        <v>61475.231999999996</v>
      </c>
      <c r="O17" s="3">
        <v>66941.514999999999</v>
      </c>
      <c r="P17" s="3">
        <v>72129.453999999983</v>
      </c>
      <c r="Q17" s="3">
        <v>77287.536000000007</v>
      </c>
      <c r="R17" s="3">
        <v>82643.756999999998</v>
      </c>
      <c r="S17" s="3">
        <v>88153.827000000005</v>
      </c>
      <c r="T17" s="3">
        <v>93546.082999999984</v>
      </c>
      <c r="U17" s="3">
        <v>98696.890000000014</v>
      </c>
      <c r="V17" s="3">
        <v>103748.071</v>
      </c>
      <c r="W17" s="3">
        <v>108555.802</v>
      </c>
      <c r="X17" s="3">
        <v>113172.21599999999</v>
      </c>
      <c r="Y17" s="3">
        <v>117614.03399999999</v>
      </c>
      <c r="Z17" s="3">
        <v>121795.91099999999</v>
      </c>
    </row>
    <row r="18" spans="1:27" x14ac:dyDescent="0.55000000000000004">
      <c r="A18" s="2" t="s">
        <v>6</v>
      </c>
      <c r="B18" s="2" t="s">
        <v>11</v>
      </c>
      <c r="C18" s="2" t="s">
        <v>17</v>
      </c>
      <c r="D18" s="2" t="s">
        <v>9</v>
      </c>
      <c r="E18" s="2" t="s">
        <v>10</v>
      </c>
      <c r="F18" s="3">
        <v>28472.737000000008</v>
      </c>
      <c r="G18" s="3">
        <v>31550.083000000006</v>
      </c>
      <c r="H18" s="3">
        <v>32818.625</v>
      </c>
      <c r="I18" s="3">
        <v>36181.438000000002</v>
      </c>
      <c r="J18" s="3">
        <v>40500.722999999998</v>
      </c>
      <c r="K18" s="3">
        <v>44583.437999999995</v>
      </c>
      <c r="L18" s="3">
        <v>48535.595999999998</v>
      </c>
      <c r="M18" s="3">
        <v>52414.783999999985</v>
      </c>
      <c r="N18" s="3">
        <v>56377.851000000002</v>
      </c>
      <c r="O18" s="3">
        <v>60386.716999999997</v>
      </c>
      <c r="P18" s="3">
        <v>64326.077000000005</v>
      </c>
      <c r="Q18" s="3">
        <v>68395.952999999994</v>
      </c>
      <c r="R18" s="3">
        <v>72763.072</v>
      </c>
      <c r="S18" s="3">
        <v>77363.494999999995</v>
      </c>
      <c r="T18" s="3">
        <v>81987.34</v>
      </c>
      <c r="U18" s="3">
        <v>86538.516999999993</v>
      </c>
      <c r="V18" s="3">
        <v>91127.895000000004</v>
      </c>
      <c r="W18" s="3">
        <v>95666.581999999995</v>
      </c>
      <c r="X18" s="3">
        <v>100181.485</v>
      </c>
      <c r="Y18" s="3">
        <v>104688.73000000001</v>
      </c>
      <c r="Z18" s="3">
        <v>109142.296</v>
      </c>
    </row>
    <row r="19" spans="1:27" x14ac:dyDescent="0.55000000000000004">
      <c r="A19" s="2" t="s">
        <v>6</v>
      </c>
      <c r="B19" s="2" t="s">
        <v>12</v>
      </c>
      <c r="C19" s="2" t="s">
        <v>17</v>
      </c>
      <c r="D19" s="2" t="s">
        <v>9</v>
      </c>
      <c r="E19" s="2" t="s">
        <v>10</v>
      </c>
      <c r="F19" s="3">
        <v>28472.737000000008</v>
      </c>
      <c r="G19" s="3">
        <v>31550.083000000006</v>
      </c>
      <c r="H19" s="3">
        <v>32818.625</v>
      </c>
      <c r="I19" s="3">
        <v>35948.411</v>
      </c>
      <c r="J19" s="3">
        <v>39686.804000000004</v>
      </c>
      <c r="K19" s="3">
        <v>42733.353000000003</v>
      </c>
      <c r="L19" s="3">
        <v>45199.766000000003</v>
      </c>
      <c r="M19" s="3">
        <v>47199.921999999999</v>
      </c>
      <c r="N19" s="3">
        <v>48928.696999999993</v>
      </c>
      <c r="O19" s="3">
        <v>50351.637999999999</v>
      </c>
      <c r="P19" s="3">
        <v>51351.466000000008</v>
      </c>
      <c r="Q19" s="3">
        <v>52117.691000000006</v>
      </c>
      <c r="R19" s="3">
        <v>52812.478999999999</v>
      </c>
      <c r="S19" s="3">
        <v>53404.983999999997</v>
      </c>
      <c r="T19" s="3">
        <v>53691.506000000001</v>
      </c>
      <c r="U19" s="3">
        <v>53640.054999999993</v>
      </c>
      <c r="V19" s="3">
        <v>53445.593999999997</v>
      </c>
      <c r="W19" s="3">
        <v>53083.972000000009</v>
      </c>
      <c r="X19" s="3">
        <v>52656.428</v>
      </c>
      <c r="Y19" s="3">
        <v>52205.133000000002</v>
      </c>
      <c r="Z19" s="3">
        <v>51641.381000000001</v>
      </c>
    </row>
    <row r="20" spans="1:27" x14ac:dyDescent="0.55000000000000004">
      <c r="A20" s="2" t="s">
        <v>6</v>
      </c>
      <c r="B20" s="2" t="s">
        <v>13</v>
      </c>
      <c r="C20" s="2" t="s">
        <v>17</v>
      </c>
      <c r="D20" s="2" t="s">
        <v>9</v>
      </c>
      <c r="E20" s="2" t="s">
        <v>10</v>
      </c>
      <c r="F20" s="3">
        <v>28472.737000000008</v>
      </c>
      <c r="G20" s="3">
        <v>31550.083000000006</v>
      </c>
      <c r="H20" s="3">
        <v>32818.625</v>
      </c>
      <c r="I20" s="3">
        <v>36100.199000000001</v>
      </c>
      <c r="J20" s="3">
        <v>40330.093000000008</v>
      </c>
      <c r="K20" s="3">
        <v>44725.731</v>
      </c>
      <c r="L20" s="3">
        <v>49429.587</v>
      </c>
      <c r="M20" s="3">
        <v>54309.697</v>
      </c>
      <c r="N20" s="3">
        <v>59075.795999999995</v>
      </c>
      <c r="O20" s="3">
        <v>63627.53300000001</v>
      </c>
      <c r="P20" s="3">
        <v>67849.626000000004</v>
      </c>
      <c r="Q20" s="3">
        <v>71986.64</v>
      </c>
      <c r="R20" s="3">
        <v>76270.423999999999</v>
      </c>
      <c r="S20" s="3">
        <v>80591.134000000005</v>
      </c>
      <c r="T20" s="3">
        <v>84647.19</v>
      </c>
      <c r="U20" s="3">
        <v>88317.097000000009</v>
      </c>
      <c r="V20" s="3">
        <v>91848.165999999997</v>
      </c>
      <c r="W20" s="3">
        <v>95128.967000000004</v>
      </c>
      <c r="X20" s="3">
        <v>98246.150999999983</v>
      </c>
      <c r="Y20" s="3">
        <v>101243.325</v>
      </c>
      <c r="Z20" s="3">
        <v>103932.62299999999</v>
      </c>
    </row>
    <row r="21" spans="1:27" x14ac:dyDescent="0.55000000000000004">
      <c r="A21" s="2" t="s">
        <v>6</v>
      </c>
      <c r="B21" s="2" t="s">
        <v>14</v>
      </c>
      <c r="C21" s="2" t="s">
        <v>17</v>
      </c>
      <c r="D21" s="2" t="s">
        <v>9</v>
      </c>
      <c r="E21" s="2" t="s">
        <v>10</v>
      </c>
      <c r="F21" s="3">
        <v>28472.737000000008</v>
      </c>
      <c r="G21" s="3">
        <v>31550.083000000006</v>
      </c>
      <c r="H21" s="3">
        <v>32818.625</v>
      </c>
      <c r="I21" s="3">
        <v>36419.012000000002</v>
      </c>
      <c r="J21" s="3">
        <v>41454.607999999993</v>
      </c>
      <c r="K21" s="3">
        <v>47477.921000000002</v>
      </c>
      <c r="L21" s="3">
        <v>54870.280999999995</v>
      </c>
      <c r="M21" s="3">
        <v>63484.558000000005</v>
      </c>
      <c r="N21" s="3">
        <v>72838.106</v>
      </c>
      <c r="O21" s="3">
        <v>82982.228999999992</v>
      </c>
      <c r="P21" s="3">
        <v>93830.676999999996</v>
      </c>
      <c r="Q21" s="3">
        <v>105767.15299999999</v>
      </c>
      <c r="R21" s="3">
        <v>119198.63499999999</v>
      </c>
      <c r="S21" s="3">
        <v>134218.99599999998</v>
      </c>
      <c r="T21" s="3">
        <v>150744.21299999999</v>
      </c>
      <c r="U21" s="3">
        <v>168771.34400000001</v>
      </c>
      <c r="V21" s="3">
        <v>188366.51700000002</v>
      </c>
      <c r="W21" s="3">
        <v>209418.60599999997</v>
      </c>
      <c r="X21" s="3">
        <v>232046.5</v>
      </c>
      <c r="Y21" s="3">
        <v>256392.36300000001</v>
      </c>
      <c r="Z21" s="3">
        <v>282686.31600000005</v>
      </c>
    </row>
    <row r="22" spans="1:27" x14ac:dyDescent="0.55000000000000004">
      <c r="A22" s="2" t="s">
        <v>6</v>
      </c>
      <c r="B22" s="2" t="s">
        <v>7</v>
      </c>
      <c r="C22" s="2" t="s">
        <v>18</v>
      </c>
      <c r="D22" s="2" t="s">
        <v>9</v>
      </c>
      <c r="E22" s="2" t="s">
        <v>10</v>
      </c>
      <c r="F22" s="3">
        <v>2998.8589999999999</v>
      </c>
      <c r="G22" s="3">
        <v>3966.7279999999996</v>
      </c>
      <c r="H22" s="3">
        <v>4736.451</v>
      </c>
      <c r="I22" s="3">
        <v>5632.3549999999996</v>
      </c>
      <c r="J22" s="3">
        <v>6767.1389999999992</v>
      </c>
      <c r="K22" s="3">
        <v>8130.9620000000004</v>
      </c>
      <c r="L22" s="3">
        <v>9749.159999999998</v>
      </c>
      <c r="M22" s="3">
        <v>11496.512999999999</v>
      </c>
      <c r="N22" s="3">
        <v>13135.220000000003</v>
      </c>
      <c r="O22" s="3">
        <v>14508.197999999997</v>
      </c>
      <c r="P22" s="3">
        <v>15586.103999999999</v>
      </c>
      <c r="Q22" s="3">
        <v>16514.054</v>
      </c>
      <c r="R22" s="3">
        <v>17479.316999999999</v>
      </c>
      <c r="S22" s="3">
        <v>18426.915999999997</v>
      </c>
      <c r="T22" s="3">
        <v>19208.23</v>
      </c>
      <c r="U22" s="3">
        <v>19739.906000000003</v>
      </c>
      <c r="V22" s="3">
        <v>20118.542000000001</v>
      </c>
      <c r="W22" s="3">
        <v>20408.870000000003</v>
      </c>
      <c r="X22" s="3">
        <v>20653.228000000003</v>
      </c>
      <c r="Y22" s="3">
        <v>20857.542999999998</v>
      </c>
      <c r="Z22" s="3">
        <v>20951.341</v>
      </c>
    </row>
    <row r="23" spans="1:27" x14ac:dyDescent="0.55000000000000004">
      <c r="A23" s="2" t="s">
        <v>6</v>
      </c>
      <c r="B23" s="2" t="s">
        <v>11</v>
      </c>
      <c r="C23" s="2" t="s">
        <v>18</v>
      </c>
      <c r="D23" s="2" t="s">
        <v>9</v>
      </c>
      <c r="E23" s="2" t="s">
        <v>10</v>
      </c>
      <c r="F23" s="3">
        <v>2998.8589999999999</v>
      </c>
      <c r="G23" s="3">
        <v>3966.7279999999996</v>
      </c>
      <c r="H23" s="3">
        <v>4736.451</v>
      </c>
      <c r="I23" s="3">
        <v>5639.5259999999989</v>
      </c>
      <c r="J23" s="3">
        <v>6742.8349999999991</v>
      </c>
      <c r="K23" s="3">
        <v>7939.7889999999998</v>
      </c>
      <c r="L23" s="3">
        <v>9174.8709999999992</v>
      </c>
      <c r="M23" s="3">
        <v>10388.139000000001</v>
      </c>
      <c r="N23" s="3">
        <v>11534.336000000001</v>
      </c>
      <c r="O23" s="3">
        <v>12544.435000000001</v>
      </c>
      <c r="P23" s="3">
        <v>13434.587000000001</v>
      </c>
      <c r="Q23" s="3">
        <v>14325.183000000001</v>
      </c>
      <c r="R23" s="3">
        <v>15361.275</v>
      </c>
      <c r="S23" s="3">
        <v>16469.481</v>
      </c>
      <c r="T23" s="3">
        <v>17567.203999999998</v>
      </c>
      <c r="U23" s="3">
        <v>18573.095000000001</v>
      </c>
      <c r="V23" s="3">
        <v>19512.661</v>
      </c>
      <c r="W23" s="3">
        <v>20429.27</v>
      </c>
      <c r="X23" s="3">
        <v>21356.352000000003</v>
      </c>
      <c r="Y23" s="3">
        <v>22298.878000000004</v>
      </c>
      <c r="Z23" s="3">
        <v>23216.780999999999</v>
      </c>
    </row>
    <row r="24" spans="1:27" x14ac:dyDescent="0.55000000000000004">
      <c r="A24" s="2" t="s">
        <v>6</v>
      </c>
      <c r="B24" s="2" t="s">
        <v>12</v>
      </c>
      <c r="C24" s="2" t="s">
        <v>18</v>
      </c>
      <c r="D24" s="2" t="s">
        <v>9</v>
      </c>
      <c r="E24" s="2" t="s">
        <v>10</v>
      </c>
      <c r="F24" s="3">
        <v>2998.8589999999999</v>
      </c>
      <c r="G24" s="3">
        <v>3966.7279999999996</v>
      </c>
      <c r="H24" s="3">
        <v>4736.451</v>
      </c>
      <c r="I24" s="3">
        <v>5635.6230000000005</v>
      </c>
      <c r="J24" s="3">
        <v>6698.1830000000009</v>
      </c>
      <c r="K24" s="3">
        <v>7734.6570000000002</v>
      </c>
      <c r="L24" s="3">
        <v>8689.3060000000005</v>
      </c>
      <c r="M24" s="3">
        <v>9529.534999999998</v>
      </c>
      <c r="N24" s="3">
        <v>10241.197999999999</v>
      </c>
      <c r="O24" s="3">
        <v>10734.182999999997</v>
      </c>
      <c r="P24" s="3">
        <v>11035.398000000005</v>
      </c>
      <c r="Q24" s="3">
        <v>11294.844000000001</v>
      </c>
      <c r="R24" s="3">
        <v>11675.123999999998</v>
      </c>
      <c r="S24" s="3">
        <v>12166.132999999998</v>
      </c>
      <c r="T24" s="3">
        <v>12690.856000000002</v>
      </c>
      <c r="U24" s="3">
        <v>13201.588</v>
      </c>
      <c r="V24" s="3">
        <v>13710.514999999998</v>
      </c>
      <c r="W24" s="3">
        <v>14192.428</v>
      </c>
      <c r="X24" s="3">
        <v>14710.241000000004</v>
      </c>
      <c r="Y24" s="3">
        <v>15253.925999999998</v>
      </c>
      <c r="Z24" s="3">
        <v>15791.194</v>
      </c>
    </row>
    <row r="25" spans="1:27" x14ac:dyDescent="0.55000000000000004">
      <c r="A25" s="2" t="s">
        <v>6</v>
      </c>
      <c r="B25" s="2" t="s">
        <v>13</v>
      </c>
      <c r="C25" s="2" t="s">
        <v>18</v>
      </c>
      <c r="D25" s="2" t="s">
        <v>9</v>
      </c>
      <c r="E25" s="2" t="s">
        <v>10</v>
      </c>
      <c r="F25" s="3">
        <v>2998.8589999999999</v>
      </c>
      <c r="G25" s="3">
        <v>3966.7279999999996</v>
      </c>
      <c r="H25" s="3">
        <v>4736.451</v>
      </c>
      <c r="I25" s="3">
        <v>5624.1740000000009</v>
      </c>
      <c r="J25" s="3">
        <v>6700.4360000000006</v>
      </c>
      <c r="K25" s="3">
        <v>7897.2039999999988</v>
      </c>
      <c r="L25" s="3">
        <v>9203.1899999999969</v>
      </c>
      <c r="M25" s="3">
        <v>10548.2</v>
      </c>
      <c r="N25" s="3">
        <v>11800.295999999998</v>
      </c>
      <c r="O25" s="3">
        <v>12832.668</v>
      </c>
      <c r="P25" s="3">
        <v>13646.125000000002</v>
      </c>
      <c r="Q25" s="3">
        <v>14389.517</v>
      </c>
      <c r="R25" s="3">
        <v>15228.454000000002</v>
      </c>
      <c r="S25" s="3">
        <v>16061.387000000001</v>
      </c>
      <c r="T25" s="3">
        <v>16794.832000000002</v>
      </c>
      <c r="U25" s="3">
        <v>17348.348999999998</v>
      </c>
      <c r="V25" s="3">
        <v>17781.297999999999</v>
      </c>
      <c r="W25" s="3">
        <v>18137.507999999998</v>
      </c>
      <c r="X25" s="3">
        <v>18457.175999999999</v>
      </c>
      <c r="Y25" s="3">
        <v>18742.968999999997</v>
      </c>
      <c r="Z25" s="3">
        <v>18943.083999999999</v>
      </c>
    </row>
    <row r="26" spans="1:27" x14ac:dyDescent="0.55000000000000004">
      <c r="A26" s="2" t="s">
        <v>6</v>
      </c>
      <c r="B26" s="2" t="s">
        <v>14</v>
      </c>
      <c r="C26" s="2" t="s">
        <v>18</v>
      </c>
      <c r="D26" s="2" t="s">
        <v>9</v>
      </c>
      <c r="E26" s="2" t="s">
        <v>10</v>
      </c>
      <c r="F26" s="3">
        <v>2998.8589999999999</v>
      </c>
      <c r="G26" s="3">
        <v>3966.7279999999996</v>
      </c>
      <c r="H26" s="3">
        <v>4736.451</v>
      </c>
      <c r="I26" s="3">
        <v>5640.1920000000009</v>
      </c>
      <c r="J26" s="3">
        <v>6827.2580000000016</v>
      </c>
      <c r="K26" s="3">
        <v>8487</v>
      </c>
      <c r="L26" s="3">
        <v>10649.221000000001</v>
      </c>
      <c r="M26" s="3">
        <v>13168.535000000002</v>
      </c>
      <c r="N26" s="3">
        <v>15664.212</v>
      </c>
      <c r="O26" s="3">
        <v>17935.964</v>
      </c>
      <c r="P26" s="3">
        <v>19931.974999999995</v>
      </c>
      <c r="Q26" s="3">
        <v>21839.225000000002</v>
      </c>
      <c r="R26" s="3">
        <v>23914.677000000003</v>
      </c>
      <c r="S26" s="3">
        <v>26095.982999999997</v>
      </c>
      <c r="T26" s="3">
        <v>28191.901000000002</v>
      </c>
      <c r="U26" s="3">
        <v>30083.069</v>
      </c>
      <c r="V26" s="3">
        <v>31884.167999999998</v>
      </c>
      <c r="W26" s="3">
        <v>33671.15</v>
      </c>
      <c r="X26" s="3">
        <v>35492.833000000006</v>
      </c>
      <c r="Y26" s="3">
        <v>37355.092000000004</v>
      </c>
      <c r="Z26" s="3">
        <v>39150.76</v>
      </c>
    </row>
    <row r="27" spans="1:27" ht="48" customHeight="1" x14ac:dyDescent="0.55000000000000004">
      <c r="A27" s="4" t="s">
        <v>19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9" spans="1:27" x14ac:dyDescent="0.55000000000000004">
      <c r="L29" s="3">
        <f>L6+L11+L16+L21+L26</f>
        <v>166041.74100000001</v>
      </c>
      <c r="P29" s="3">
        <f>P6+P11+P16+P21+P26</f>
        <v>360926.06099999999</v>
      </c>
      <c r="V29" s="3">
        <f>V6+V11+V16+V21+V26</f>
        <v>729516.96699999995</v>
      </c>
    </row>
    <row r="30" spans="1:27" x14ac:dyDescent="0.55000000000000004">
      <c r="L30" s="3">
        <f>L5+L10+L15+L20+L25</f>
        <v>141182.024</v>
      </c>
      <c r="P30" s="3">
        <f>P5+P10+P15+P20+P25</f>
        <v>219216.13399999996</v>
      </c>
      <c r="V30" s="3">
        <f>V5+V10+V15+V20+V25</f>
        <v>307506.36700000003</v>
      </c>
    </row>
  </sheetData>
  <mergeCells count="1">
    <mergeCell ref="A27:A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E1" workbookViewId="0">
      <selection activeCell="A7" sqref="A7:XFD7"/>
    </sheetView>
  </sheetViews>
  <sheetFormatPr defaultRowHeight="14.4" x14ac:dyDescent="0.55000000000000004"/>
  <cols>
    <col min="1" max="5" width="18.734375" customWidth="1"/>
  </cols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2000</v>
      </c>
      <c r="G1" s="1">
        <v>2005</v>
      </c>
      <c r="H1" s="1">
        <v>2010</v>
      </c>
      <c r="I1" s="1">
        <v>2015</v>
      </c>
      <c r="J1" s="1">
        <v>2020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  <c r="AA1" s="1" t="s">
        <v>5</v>
      </c>
    </row>
    <row r="2" spans="1:27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G2">
        <f>(data!G2/data!F2)^(1/5)-1</f>
        <v>7.3207943857360958E-2</v>
      </c>
      <c r="H2">
        <f>(data!H2/data!G2)^(1/5)-1</f>
        <v>8.5664905110201417E-2</v>
      </c>
      <c r="I2">
        <f>(data!I2/data!H2)^(1/5)-1</f>
        <v>7.1276594327455145E-2</v>
      </c>
      <c r="J2">
        <f>(data!J2/data!I2)^(1/5)-1</f>
        <v>7.1521757172116729E-2</v>
      </c>
      <c r="K2">
        <f>(data!K2/data!J2)^(1/5)-1</f>
        <v>6.5677565660225756E-2</v>
      </c>
      <c r="L2">
        <f>(data!L2/data!K2)^(1/5)-1</f>
        <v>5.8218438894199309E-2</v>
      </c>
      <c r="M2">
        <f>(data!M2/data!L2)^(1/5)-1</f>
        <v>4.9774811479614156E-2</v>
      </c>
      <c r="N2">
        <f>(data!N2/data!M2)^(1/5)-1</f>
        <v>4.0798112294340605E-2</v>
      </c>
      <c r="O2">
        <f>(data!O2/data!N2)^(1/5)-1</f>
        <v>3.3361046786511084E-2</v>
      </c>
      <c r="P2">
        <f>(data!P2/data!O2)^(1/5)-1</f>
        <v>2.6503777948199581E-2</v>
      </c>
      <c r="Q2">
        <f>(data!Q2/data!P2)^(1/5)-1</f>
        <v>2.1186707843810826E-2</v>
      </c>
      <c r="R2">
        <f>(data!R2/data!Q2)^(1/5)-1</f>
        <v>1.7701048272063202E-2</v>
      </c>
      <c r="S2">
        <f>(data!S2/data!R2)^(1/5)-1</f>
        <v>1.4700587011843957E-2</v>
      </c>
      <c r="T2">
        <f>(data!T2/data!S2)^(1/5)-1</f>
        <v>1.1887781731789726E-2</v>
      </c>
      <c r="U2">
        <f>(data!U2/data!T2)^(1/5)-1</f>
        <v>9.1928299459658191E-3</v>
      </c>
      <c r="V2">
        <f>(data!V2/data!U2)^(1/5)-1</f>
        <v>7.5172702238259781E-3</v>
      </c>
      <c r="W2">
        <f>(data!W2/data!V2)^(1/5)-1</f>
        <v>5.7700363785058162E-3</v>
      </c>
      <c r="X2">
        <f>(data!X2/data!W2)^(1/5)-1</f>
        <v>4.27284326915367E-3</v>
      </c>
      <c r="Y2">
        <f>(data!Y2/data!X2)^(1/5)-1</f>
        <v>2.9011801543568083E-3</v>
      </c>
      <c r="Z2">
        <f>(data!Z2/data!Y2)^(1/5)-1</f>
        <v>1.4061470109292262E-3</v>
      </c>
    </row>
    <row r="3" spans="1:27" x14ac:dyDescent="0.55000000000000004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G3">
        <f>(data!G3/data!F3)^(1/5)-1</f>
        <v>7.3207943857360958E-2</v>
      </c>
      <c r="H3">
        <f>(data!H3/data!G3)^(1/5)-1</f>
        <v>8.5664905110201417E-2</v>
      </c>
      <c r="I3">
        <f>(data!I3/data!H3)^(1/5)-1</f>
        <v>7.20230304687004E-2</v>
      </c>
      <c r="J3">
        <f>(data!J3/data!I3)^(1/5)-1</f>
        <v>7.0174497090097043E-2</v>
      </c>
      <c r="K3">
        <f>(data!K3/data!J3)^(1/5)-1</f>
        <v>5.7065169388389236E-2</v>
      </c>
      <c r="L3">
        <f>(data!L3/data!K3)^(1/5)-1</f>
        <v>4.4522171310486192E-2</v>
      </c>
      <c r="M3">
        <f>(data!M3/data!L3)^(1/5)-1</f>
        <v>3.5087283037486872E-2</v>
      </c>
      <c r="N3">
        <f>(data!N3/data!M3)^(1/5)-1</f>
        <v>3.0141072759184651E-2</v>
      </c>
      <c r="O3">
        <f>(data!O3/data!N3)^(1/5)-1</f>
        <v>2.6357194802421935E-2</v>
      </c>
      <c r="P3">
        <f>(data!P3/data!O3)^(1/5)-1</f>
        <v>2.2626943652195086E-2</v>
      </c>
      <c r="Q3">
        <f>(data!Q3/data!P3)^(1/5)-1</f>
        <v>1.9795780007603403E-2</v>
      </c>
      <c r="R3">
        <f>(data!R3/data!Q3)^(1/5)-1</f>
        <v>1.8318305111654887E-2</v>
      </c>
      <c r="S3">
        <f>(data!S3/data!R3)^(1/5)-1</f>
        <v>1.7005708308447387E-2</v>
      </c>
      <c r="T3">
        <f>(data!T3/data!S3)^(1/5)-1</f>
        <v>1.5790825380151308E-2</v>
      </c>
      <c r="U3">
        <f>(data!U3/data!T3)^(1/5)-1</f>
        <v>1.4496543188109001E-2</v>
      </c>
      <c r="V3">
        <f>(data!V3/data!U3)^(1/5)-1</f>
        <v>1.3560604878682936E-2</v>
      </c>
      <c r="W3">
        <f>(data!W3/data!V3)^(1/5)-1</f>
        <v>1.2541697739645752E-2</v>
      </c>
      <c r="X3">
        <f>(data!X3/data!W3)^(1/5)-1</f>
        <v>1.180036295034248E-2</v>
      </c>
      <c r="Y3">
        <f>(data!Y3/data!X3)^(1/5)-1</f>
        <v>1.1182620931993403E-2</v>
      </c>
      <c r="Z3">
        <f>(data!Z3/data!Y3)^(1/5)-1</f>
        <v>1.0547231325734208E-2</v>
      </c>
    </row>
    <row r="4" spans="1:27" x14ac:dyDescent="0.55000000000000004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G4">
        <f>(data!G4/data!F4)^(1/5)-1</f>
        <v>7.3207943857360958E-2</v>
      </c>
      <c r="H4">
        <f>(data!H4/data!G4)^(1/5)-1</f>
        <v>8.5664905110201417E-2</v>
      </c>
      <c r="I4">
        <f>(data!I4/data!H4)^(1/5)-1</f>
        <v>7.2529151634120215E-2</v>
      </c>
      <c r="J4">
        <f>(data!J4/data!I4)^(1/5)-1</f>
        <v>6.9565294747558459E-2</v>
      </c>
      <c r="K4">
        <f>(data!K4/data!J4)^(1/5)-1</f>
        <v>5.1251221818117587E-2</v>
      </c>
      <c r="L4">
        <f>(data!L4/data!K4)^(1/5)-1</f>
        <v>3.4998519887389001E-2</v>
      </c>
      <c r="M4">
        <f>(data!M4/data!L4)^(1/5)-1</f>
        <v>2.2990200294452201E-2</v>
      </c>
      <c r="N4">
        <f>(data!N4/data!M4)^(1/5)-1</f>
        <v>1.7974751581786741E-2</v>
      </c>
      <c r="O4">
        <f>(data!O4/data!N4)^(1/5)-1</f>
        <v>1.4355268118605657E-2</v>
      </c>
      <c r="P4">
        <f>(data!P4/data!O4)^(1/5)-1</f>
        <v>1.0922224445045536E-2</v>
      </c>
      <c r="Q4">
        <f>(data!Q4/data!P4)^(1/5)-1</f>
        <v>8.7032078169395621E-3</v>
      </c>
      <c r="R4">
        <f>(data!R4/data!Q4)^(1/5)-1</f>
        <v>8.109869508113654E-3</v>
      </c>
      <c r="S4">
        <f>(data!S4/data!R4)^(1/5)-1</f>
        <v>7.8319973329741277E-3</v>
      </c>
      <c r="T4">
        <f>(data!T4/data!S4)^(1/5)-1</f>
        <v>7.6984651829288264E-3</v>
      </c>
      <c r="U4">
        <f>(data!U4/data!T4)^(1/5)-1</f>
        <v>7.4651306737061329E-3</v>
      </c>
      <c r="V4">
        <f>(data!V4/data!U4)^(1/5)-1</f>
        <v>7.3298162962260882E-3</v>
      </c>
      <c r="W4">
        <f>(data!W4/data!V4)^(1/5)-1</f>
        <v>7.0486780770795399E-3</v>
      </c>
      <c r="X4">
        <f>(data!X4/data!W4)^(1/5)-1</f>
        <v>7.1187323778569844E-3</v>
      </c>
      <c r="Y4">
        <f>(data!Y4/data!X4)^(1/5)-1</f>
        <v>7.3085243794850374E-3</v>
      </c>
      <c r="Z4">
        <f>(data!Z4/data!Y4)^(1/5)-1</f>
        <v>7.5961103273751718E-3</v>
      </c>
    </row>
    <row r="5" spans="1:27" x14ac:dyDescent="0.55000000000000004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G5">
        <f>(data!G5/data!F5)^(1/5)-1</f>
        <v>7.3207943857360958E-2</v>
      </c>
      <c r="H5">
        <f>(data!H5/data!G5)^(1/5)-1</f>
        <v>8.5664905110201417E-2</v>
      </c>
      <c r="I5">
        <f>(data!I5/data!H5)^(1/5)-1</f>
        <v>7.1445788884333394E-2</v>
      </c>
      <c r="J5">
        <f>(data!J5/data!I5)^(1/5)-1</f>
        <v>6.931459002571394E-2</v>
      </c>
      <c r="K5">
        <f>(data!K5/data!J5)^(1/5)-1</f>
        <v>5.5794011605490246E-2</v>
      </c>
      <c r="L5">
        <f>(data!L5/data!K5)^(1/5)-1</f>
        <v>4.3857184946427763E-2</v>
      </c>
      <c r="M5">
        <f>(data!M5/data!L5)^(1/5)-1</f>
        <v>3.3687375951759746E-2</v>
      </c>
      <c r="N5">
        <f>(data!N5/data!M5)^(1/5)-1</f>
        <v>2.7471743474903443E-2</v>
      </c>
      <c r="O5">
        <f>(data!O5/data!N5)^(1/5)-1</f>
        <v>2.2438883765002027E-2</v>
      </c>
      <c r="P5">
        <f>(data!P5/data!O5)^(1/5)-1</f>
        <v>1.7598819760757722E-2</v>
      </c>
      <c r="Q5">
        <f>(data!Q5/data!P5)^(1/5)-1</f>
        <v>1.3877431195938206E-2</v>
      </c>
      <c r="R5">
        <f>(data!R5/data!Q5)^(1/5)-1</f>
        <v>1.1794639227880044E-2</v>
      </c>
      <c r="S5">
        <f>(data!S5/data!R5)^(1/5)-1</f>
        <v>9.6896334320577537E-3</v>
      </c>
      <c r="T5">
        <f>(data!T5/data!S5)^(1/5)-1</f>
        <v>7.6907146188451847E-3</v>
      </c>
      <c r="U5">
        <f>(data!U5/data!T5)^(1/5)-1</f>
        <v>5.7013237632661529E-3</v>
      </c>
      <c r="V5">
        <f>(data!V5/data!U5)^(1/5)-1</f>
        <v>4.586034373234682E-3</v>
      </c>
      <c r="W5">
        <f>(data!W5/data!V5)^(1/5)-1</f>
        <v>3.401399643394809E-3</v>
      </c>
      <c r="X5">
        <f>(data!X5/data!W5)^(1/5)-1</f>
        <v>2.6811837817093398E-3</v>
      </c>
      <c r="Y5">
        <f>(data!Y5/data!X5)^(1/5)-1</f>
        <v>2.1802659715128847E-3</v>
      </c>
      <c r="Z5">
        <f>(data!Z5/data!Y5)^(1/5)-1</f>
        <v>1.5876428398660103E-3</v>
      </c>
    </row>
    <row r="6" spans="1:27" x14ac:dyDescent="0.55000000000000004">
      <c r="A6" s="2" t="s">
        <v>6</v>
      </c>
      <c r="B6" s="2" t="s">
        <v>14</v>
      </c>
      <c r="C6" s="2" t="s">
        <v>8</v>
      </c>
      <c r="D6" s="2" t="s">
        <v>9</v>
      </c>
      <c r="E6" s="2" t="s">
        <v>10</v>
      </c>
      <c r="G6">
        <f>(data!G6/data!F6)^(1/5)-1</f>
        <v>7.3207943857360958E-2</v>
      </c>
      <c r="H6">
        <f>(data!H6/data!G6)^(1/5)-1</f>
        <v>8.5664905110201417E-2</v>
      </c>
      <c r="I6">
        <f>(data!I6/data!H6)^(1/5)-1</f>
        <v>7.1314164112237677E-2</v>
      </c>
      <c r="J6">
        <f>(data!J6/data!I6)^(1/5)-1</f>
        <v>7.336234255584384E-2</v>
      </c>
      <c r="K6">
        <f>(data!K6/data!J6)^(1/5)-1</f>
        <v>7.3622880843286831E-2</v>
      </c>
      <c r="L6">
        <f>(data!L6/data!K6)^(1/5)-1</f>
        <v>6.8733672312185856E-2</v>
      </c>
      <c r="M6">
        <f>(data!M6/data!L6)^(1/5)-1</f>
        <v>5.9244618468536903E-2</v>
      </c>
      <c r="N6">
        <f>(data!N6/data!M6)^(1/5)-1</f>
        <v>4.759146122972191E-2</v>
      </c>
      <c r="O6">
        <f>(data!O6/data!N6)^(1/5)-1</f>
        <v>3.8856623360457476E-2</v>
      </c>
      <c r="P6">
        <f>(data!P6/data!O6)^(1/5)-1</f>
        <v>3.1409085747272858E-2</v>
      </c>
      <c r="Q6">
        <f>(data!Q6/data!P6)^(1/5)-1</f>
        <v>2.6001483995158337E-2</v>
      </c>
      <c r="R6">
        <f>(data!R6/data!Q6)^(1/5)-1</f>
        <v>2.2646644026800056E-2</v>
      </c>
      <c r="S6">
        <f>(data!S6/data!R6)^(1/5)-1</f>
        <v>1.9794495904511544E-2</v>
      </c>
      <c r="T6">
        <f>(data!T6/data!S6)^(1/5)-1</f>
        <v>1.7088349168076444E-2</v>
      </c>
      <c r="U6">
        <f>(data!U6/data!T6)^(1/5)-1</f>
        <v>1.4538776136403309E-2</v>
      </c>
      <c r="V6">
        <f>(data!V6/data!U6)^(1/5)-1</f>
        <v>1.3021605215107313E-2</v>
      </c>
      <c r="W6">
        <f>(data!W6/data!V6)^(1/5)-1</f>
        <v>1.1437167241144408E-2</v>
      </c>
      <c r="X6">
        <f>(data!X6/data!W6)^(1/5)-1</f>
        <v>1.0091051451334154E-2</v>
      </c>
      <c r="Y6">
        <f>(data!Y6/data!X6)^(1/5)-1</f>
        <v>8.8658528140528325E-3</v>
      </c>
      <c r="Z6">
        <f>(data!Z6/data!Y6)^(1/5)-1</f>
        <v>7.5104914542767354E-3</v>
      </c>
    </row>
    <row r="7" spans="1:27" x14ac:dyDescent="0.55000000000000004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G7">
        <f>(data!G7/data!F7)^(1/5)-1</f>
        <v>2.6059191000425308E-2</v>
      </c>
      <c r="H7">
        <f>(data!H7/data!G7)^(1/5)-1</f>
        <v>3.9515986231408951E-2</v>
      </c>
      <c r="I7">
        <f>(data!I7/data!H7)^(1/5)-1</f>
        <v>3.7321032020220857E-2</v>
      </c>
      <c r="J7">
        <f>(data!J7/data!I7)^(1/5)-1</f>
        <v>3.7723246155351164E-2</v>
      </c>
      <c r="K7">
        <f>(data!K7/data!J7)^(1/5)-1</f>
        <v>3.7356561539457322E-2</v>
      </c>
      <c r="L7">
        <f>(data!L7/data!K7)^(1/5)-1</f>
        <v>3.7698193720080875E-2</v>
      </c>
      <c r="M7">
        <f>(data!M7/data!L7)^(1/5)-1</f>
        <v>3.6977110605935781E-2</v>
      </c>
      <c r="N7">
        <f>(data!N7/data!M7)^(1/5)-1</f>
        <v>3.3944688556563518E-2</v>
      </c>
      <c r="O7">
        <f>(data!O7/data!N7)^(1/5)-1</f>
        <v>3.0250157890316709E-2</v>
      </c>
      <c r="P7">
        <f>(data!P7/data!O7)^(1/5)-1</f>
        <v>2.6432525514160865E-2</v>
      </c>
      <c r="Q7">
        <f>(data!Q7/data!P7)^(1/5)-1</f>
        <v>2.3197089076454569E-2</v>
      </c>
      <c r="R7">
        <f>(data!R7/data!Q7)^(1/5)-1</f>
        <v>2.0242324306523729E-2</v>
      </c>
      <c r="S7">
        <f>(data!S7/data!R7)^(1/5)-1</f>
        <v>1.7451361962382617E-2</v>
      </c>
      <c r="T7">
        <f>(data!T7/data!S7)^(1/5)-1</f>
        <v>1.4738239180219326E-2</v>
      </c>
      <c r="U7">
        <f>(data!U7/data!T7)^(1/5)-1</f>
        <v>1.2459427819164093E-2</v>
      </c>
      <c r="V7">
        <f>(data!V7/data!U7)^(1/5)-1</f>
        <v>1.0694816366197735E-2</v>
      </c>
      <c r="W7">
        <f>(data!W7/data!V7)^(1/5)-1</f>
        <v>8.8992743091653725E-3</v>
      </c>
      <c r="X7">
        <f>(data!X7/data!W7)^(1/5)-1</f>
        <v>7.1031135872863249E-3</v>
      </c>
      <c r="Y7">
        <f>(data!Y7/data!X7)^(1/5)-1</f>
        <v>5.4343677118979805E-3</v>
      </c>
      <c r="Z7">
        <f>(data!Z7/data!Y7)^(1/5)-1</f>
        <v>3.6195139641572727E-3</v>
      </c>
    </row>
    <row r="8" spans="1:27" x14ac:dyDescent="0.55000000000000004">
      <c r="A8" s="2" t="s">
        <v>6</v>
      </c>
      <c r="B8" s="2" t="s">
        <v>11</v>
      </c>
      <c r="C8" s="2" t="s">
        <v>15</v>
      </c>
      <c r="D8" s="2" t="s">
        <v>9</v>
      </c>
      <c r="E8" s="2" t="s">
        <v>10</v>
      </c>
      <c r="G8">
        <f>(data!G8/data!F8)^(1/5)-1</f>
        <v>2.6059191000425308E-2</v>
      </c>
      <c r="H8">
        <f>(data!H8/data!G8)^(1/5)-1</f>
        <v>3.9515986231408951E-2</v>
      </c>
      <c r="I8">
        <f>(data!I8/data!H8)^(1/5)-1</f>
        <v>3.8337170986765257E-2</v>
      </c>
      <c r="J8">
        <f>(data!J8/data!I8)^(1/5)-1</f>
        <v>3.8495165080806748E-2</v>
      </c>
      <c r="K8">
        <f>(data!K8/data!J8)^(1/5)-1</f>
        <v>3.4200540543352309E-2</v>
      </c>
      <c r="L8">
        <f>(data!L8/data!K8)^(1/5)-1</f>
        <v>3.0512002530849625E-2</v>
      </c>
      <c r="M8">
        <f>(data!M8/data!L8)^(1/5)-1</f>
        <v>2.7504625755110812E-2</v>
      </c>
      <c r="N8">
        <f>(data!N8/data!M8)^(1/5)-1</f>
        <v>2.5694189902266684E-2</v>
      </c>
      <c r="O8">
        <f>(data!O8/data!N8)^(1/5)-1</f>
        <v>2.4108205303124297E-2</v>
      </c>
      <c r="P8">
        <f>(data!P8/data!O8)^(1/5)-1</f>
        <v>2.2707267345343229E-2</v>
      </c>
      <c r="Q8">
        <f>(data!Q8/data!P8)^(1/5)-1</f>
        <v>2.1572412227852888E-2</v>
      </c>
      <c r="R8">
        <f>(data!R8/data!Q8)^(1/5)-1</f>
        <v>2.0377090874409198E-2</v>
      </c>
      <c r="S8">
        <f>(data!S8/data!R8)^(1/5)-1</f>
        <v>1.9278133682460563E-2</v>
      </c>
      <c r="T8">
        <f>(data!T8/data!S8)^(1/5)-1</f>
        <v>1.8219587698508732E-2</v>
      </c>
      <c r="U8">
        <f>(data!U8/data!T8)^(1/5)-1</f>
        <v>1.7352709619097739E-2</v>
      </c>
      <c r="V8">
        <f>(data!V8/data!U8)^(1/5)-1</f>
        <v>1.6440142556523485E-2</v>
      </c>
      <c r="W8">
        <f>(data!W8/data!V8)^(1/5)-1</f>
        <v>1.5563729910899715E-2</v>
      </c>
      <c r="X8">
        <f>(data!X8/data!W8)^(1/5)-1</f>
        <v>1.4803209867918055E-2</v>
      </c>
      <c r="Y8">
        <f>(data!Y8/data!X8)^(1/5)-1</f>
        <v>1.4137983448689218E-2</v>
      </c>
      <c r="Z8">
        <f>(data!Z8/data!Y8)^(1/5)-1</f>
        <v>1.3473197967012851E-2</v>
      </c>
    </row>
    <row r="9" spans="1:27" x14ac:dyDescent="0.55000000000000004">
      <c r="A9" s="2" t="s">
        <v>6</v>
      </c>
      <c r="B9" s="2" t="s">
        <v>12</v>
      </c>
      <c r="C9" s="2" t="s">
        <v>15</v>
      </c>
      <c r="D9" s="2" t="s">
        <v>9</v>
      </c>
      <c r="E9" s="2" t="s">
        <v>10</v>
      </c>
      <c r="G9">
        <f>(data!G9/data!F9)^(1/5)-1</f>
        <v>2.6059191000425308E-2</v>
      </c>
      <c r="H9">
        <f>(data!H9/data!G9)^(1/5)-1</f>
        <v>3.9515986231408951E-2</v>
      </c>
      <c r="I9">
        <f>(data!I9/data!H9)^(1/5)-1</f>
        <v>3.9489873395372799E-2</v>
      </c>
      <c r="J9">
        <f>(data!J9/data!I9)^(1/5)-1</f>
        <v>3.9678215451109056E-2</v>
      </c>
      <c r="K9">
        <f>(data!K9/data!J9)^(1/5)-1</f>
        <v>3.1677502019934467E-2</v>
      </c>
      <c r="L9">
        <f>(data!L9/data!K9)^(1/5)-1</f>
        <v>2.5037749564632339E-2</v>
      </c>
      <c r="M9">
        <f>(data!M9/data!L9)^(1/5)-1</f>
        <v>1.9874482434497409E-2</v>
      </c>
      <c r="N9">
        <f>(data!N9/data!M9)^(1/5)-1</f>
        <v>1.7551437363529709E-2</v>
      </c>
      <c r="O9">
        <f>(data!O9/data!N9)^(1/5)-1</f>
        <v>1.5690559043709085E-2</v>
      </c>
      <c r="P9">
        <f>(data!P9/data!O9)^(1/5)-1</f>
        <v>1.4337552822354382E-2</v>
      </c>
      <c r="Q9">
        <f>(data!Q9/data!P9)^(1/5)-1</f>
        <v>1.3522210479910424E-2</v>
      </c>
      <c r="R9">
        <f>(data!R9/data!Q9)^(1/5)-1</f>
        <v>1.2858385472090506E-2</v>
      </c>
      <c r="S9">
        <f>(data!S9/data!R9)^(1/5)-1</f>
        <v>1.2437093059384452E-2</v>
      </c>
      <c r="T9">
        <f>(data!T9/data!S9)^(1/5)-1</f>
        <v>1.2131646175278954E-2</v>
      </c>
      <c r="U9">
        <f>(data!U9/data!T9)^(1/5)-1</f>
        <v>1.1964606129776456E-2</v>
      </c>
      <c r="V9">
        <f>(data!V9/data!U9)^(1/5)-1</f>
        <v>1.1470020835497197E-2</v>
      </c>
      <c r="W9">
        <f>(data!W9/data!V9)^(1/5)-1</f>
        <v>1.0913960189903094E-2</v>
      </c>
      <c r="X9">
        <f>(data!X9/data!W9)^(1/5)-1</f>
        <v>1.0601214964191197E-2</v>
      </c>
      <c r="Y9">
        <f>(data!Y9/data!X9)^(1/5)-1</f>
        <v>1.0413059220423682E-2</v>
      </c>
      <c r="Z9">
        <f>(data!Z9/data!Y9)^(1/5)-1</f>
        <v>1.0342684156897652E-2</v>
      </c>
    </row>
    <row r="10" spans="1:27" x14ac:dyDescent="0.55000000000000004">
      <c r="A10" s="2" t="s">
        <v>6</v>
      </c>
      <c r="B10" s="2" t="s">
        <v>13</v>
      </c>
      <c r="C10" s="2" t="s">
        <v>15</v>
      </c>
      <c r="D10" s="2" t="s">
        <v>9</v>
      </c>
      <c r="E10" s="2" t="s">
        <v>10</v>
      </c>
      <c r="G10">
        <f>(data!G10/data!F10)^(1/5)-1</f>
        <v>2.6059191000425308E-2</v>
      </c>
      <c r="H10">
        <f>(data!H10/data!G10)^(1/5)-1</f>
        <v>3.9515986231408951E-2</v>
      </c>
      <c r="I10">
        <f>(data!I10/data!H10)^(1/5)-1</f>
        <v>3.7722508483575057E-2</v>
      </c>
      <c r="J10">
        <f>(data!J10/data!I10)^(1/5)-1</f>
        <v>3.7300758129215073E-2</v>
      </c>
      <c r="K10">
        <f>(data!K10/data!J10)^(1/5)-1</f>
        <v>3.1919804069891811E-2</v>
      </c>
      <c r="L10">
        <f>(data!L10/data!K10)^(1/5)-1</f>
        <v>2.8909539766259984E-2</v>
      </c>
      <c r="M10">
        <f>(data!M10/data!L10)^(1/5)-1</f>
        <v>2.5787549022809886E-2</v>
      </c>
      <c r="N10">
        <f>(data!N10/data!M10)^(1/5)-1</f>
        <v>2.3134684572120312E-2</v>
      </c>
      <c r="O10">
        <f>(data!O10/data!N10)^(1/5)-1</f>
        <v>2.061982772797788E-2</v>
      </c>
      <c r="P10">
        <f>(data!P10/data!O10)^(1/5)-1</f>
        <v>1.8690559926582528E-2</v>
      </c>
      <c r="Q10">
        <f>(data!Q10/data!P10)^(1/5)-1</f>
        <v>1.7371652763924272E-2</v>
      </c>
      <c r="R10">
        <f>(data!R10/data!Q10)^(1/5)-1</f>
        <v>1.6105793220363207E-2</v>
      </c>
      <c r="S10">
        <f>(data!S10/data!R10)^(1/5)-1</f>
        <v>1.4606238597262733E-2</v>
      </c>
      <c r="T10">
        <f>(data!T10/data!S10)^(1/5)-1</f>
        <v>1.306973950585788E-2</v>
      </c>
      <c r="U10">
        <f>(data!U10/data!T10)^(1/5)-1</f>
        <v>1.1885050991059298E-2</v>
      </c>
      <c r="V10">
        <f>(data!V10/data!U10)^(1/5)-1</f>
        <v>1.0896784549211391E-2</v>
      </c>
      <c r="W10">
        <f>(data!W10/data!V10)^(1/5)-1</f>
        <v>9.9206420058490785E-3</v>
      </c>
      <c r="X10">
        <f>(data!X10/data!W10)^(1/5)-1</f>
        <v>9.2149114666935095E-3</v>
      </c>
      <c r="Y10">
        <f>(data!Y10/data!X10)^(1/5)-1</f>
        <v>8.6910768326164956E-3</v>
      </c>
      <c r="Z10">
        <f>(data!Z10/data!Y10)^(1/5)-1</f>
        <v>8.0730362094985075E-3</v>
      </c>
    </row>
    <row r="11" spans="1:27" x14ac:dyDescent="0.55000000000000004">
      <c r="A11" s="2" t="s">
        <v>6</v>
      </c>
      <c r="B11" s="2" t="s">
        <v>14</v>
      </c>
      <c r="C11" s="2" t="s">
        <v>15</v>
      </c>
      <c r="D11" s="2" t="s">
        <v>9</v>
      </c>
      <c r="E11" s="2" t="s">
        <v>10</v>
      </c>
      <c r="G11">
        <f>(data!G11/data!F11)^(1/5)-1</f>
        <v>2.6059191000425308E-2</v>
      </c>
      <c r="H11">
        <f>(data!H11/data!G11)^(1/5)-1</f>
        <v>3.9515986231408951E-2</v>
      </c>
      <c r="I11">
        <f>(data!I11/data!H11)^(1/5)-1</f>
        <v>3.7048896020004385E-2</v>
      </c>
      <c r="J11">
        <f>(data!J11/data!I11)^(1/5)-1</f>
        <v>3.775566549663778E-2</v>
      </c>
      <c r="K11">
        <f>(data!K11/data!J11)^(1/5)-1</f>
        <v>4.0888421868351621E-2</v>
      </c>
      <c r="L11">
        <f>(data!L11/data!K11)^(1/5)-1</f>
        <v>4.5012416449439652E-2</v>
      </c>
      <c r="M11">
        <f>(data!M11/data!L11)^(1/5)-1</f>
        <v>4.5715887708011271E-2</v>
      </c>
      <c r="N11">
        <f>(data!N11/data!M11)^(1/5)-1</f>
        <v>4.1264251386065931E-2</v>
      </c>
      <c r="O11">
        <f>(data!O11/data!N11)^(1/5)-1</f>
        <v>3.6509394348111401E-2</v>
      </c>
      <c r="P11">
        <f>(data!P11/data!O11)^(1/5)-1</f>
        <v>3.1991760519000767E-2</v>
      </c>
      <c r="Q11">
        <f>(data!Q11/data!P11)^(1/5)-1</f>
        <v>2.8380226720361446E-2</v>
      </c>
      <c r="R11">
        <f>(data!R11/data!Q11)^(1/5)-1</f>
        <v>2.5188708249489489E-2</v>
      </c>
      <c r="S11">
        <f>(data!S11/data!R11)^(1/5)-1</f>
        <v>2.2315503796621838E-2</v>
      </c>
      <c r="T11">
        <f>(data!T11/data!S11)^(1/5)-1</f>
        <v>1.9539306764204234E-2</v>
      </c>
      <c r="U11">
        <f>(data!U11/data!T11)^(1/5)-1</f>
        <v>1.7319077238504343E-2</v>
      </c>
      <c r="V11">
        <f>(data!V11/data!U11)^(1/5)-1</f>
        <v>1.5727907756545534E-2</v>
      </c>
      <c r="W11">
        <f>(data!W11/data!V11)^(1/5)-1</f>
        <v>1.4137536529664096E-2</v>
      </c>
      <c r="X11">
        <f>(data!X11/data!W11)^(1/5)-1</f>
        <v>1.2560363563014709E-2</v>
      </c>
      <c r="Y11">
        <f>(data!Y11/data!X11)^(1/5)-1</f>
        <v>1.1131032500929505E-2</v>
      </c>
      <c r="Z11">
        <f>(data!Z11/data!Y11)^(1/5)-1</f>
        <v>9.5518241794760872E-3</v>
      </c>
    </row>
    <row r="12" spans="1:27" x14ac:dyDescent="0.55000000000000004">
      <c r="A12" s="2" t="s">
        <v>6</v>
      </c>
      <c r="B12" s="2" t="s">
        <v>7</v>
      </c>
      <c r="C12" s="2" t="s">
        <v>16</v>
      </c>
      <c r="D12" s="2" t="s">
        <v>9</v>
      </c>
      <c r="E12" s="2" t="s">
        <v>10</v>
      </c>
      <c r="G12">
        <f>(data!G12/data!F12)^(1/5)-1</f>
        <v>4.4654137602972988E-2</v>
      </c>
      <c r="H12">
        <f>(data!H12/data!G12)^(1/5)-1</f>
        <v>4.7787285578150041E-2</v>
      </c>
      <c r="I12">
        <f>(data!I12/data!H12)^(1/5)-1</f>
        <v>4.3972422742961648E-2</v>
      </c>
      <c r="J12">
        <f>(data!J12/data!I12)^(1/5)-1</f>
        <v>4.9779378177017719E-2</v>
      </c>
      <c r="K12">
        <f>(data!K12/data!J12)^(1/5)-1</f>
        <v>5.07371505495533E-2</v>
      </c>
      <c r="L12">
        <f>(data!L12/data!K12)^(1/5)-1</f>
        <v>5.3218358322820292E-2</v>
      </c>
      <c r="M12">
        <f>(data!M12/data!L12)^(1/5)-1</f>
        <v>5.2982794368309438E-2</v>
      </c>
      <c r="N12">
        <f>(data!N12/data!M12)^(1/5)-1</f>
        <v>5.0680627505257592E-2</v>
      </c>
      <c r="O12">
        <f>(data!O12/data!N12)^(1/5)-1</f>
        <v>4.7872748873978299E-2</v>
      </c>
      <c r="P12">
        <f>(data!P12/data!O12)^(1/5)-1</f>
        <v>4.484029192245309E-2</v>
      </c>
      <c r="Q12">
        <f>(data!Q12/data!P12)^(1/5)-1</f>
        <v>4.2426222063475016E-2</v>
      </c>
      <c r="R12">
        <f>(data!R12/data!Q12)^(1/5)-1</f>
        <v>4.0181303896059672E-2</v>
      </c>
      <c r="S12">
        <f>(data!S12/data!R12)^(1/5)-1</f>
        <v>3.7435170712600385E-2</v>
      </c>
      <c r="T12">
        <f>(data!T12/data!S12)^(1/5)-1</f>
        <v>3.4071431666271357E-2</v>
      </c>
      <c r="U12">
        <f>(data!U12/data!T12)^(1/5)-1</f>
        <v>3.0676079392696565E-2</v>
      </c>
      <c r="V12">
        <f>(data!V12/data!U12)^(1/5)-1</f>
        <v>2.7801784125977669E-2</v>
      </c>
      <c r="W12">
        <f>(data!W12/data!V12)^(1/5)-1</f>
        <v>2.504464094804959E-2</v>
      </c>
      <c r="X12">
        <f>(data!X12/data!W12)^(1/5)-1</f>
        <v>2.2445076679057374E-2</v>
      </c>
      <c r="Y12">
        <f>(data!Y12/data!X12)^(1/5)-1</f>
        <v>1.9967684577145484E-2</v>
      </c>
      <c r="Z12">
        <f>(data!Z12/data!Y12)^(1/5)-1</f>
        <v>1.7386263185511286E-2</v>
      </c>
    </row>
    <row r="13" spans="1:27" x14ac:dyDescent="0.55000000000000004">
      <c r="A13" s="2" t="s">
        <v>6</v>
      </c>
      <c r="B13" s="2" t="s">
        <v>11</v>
      </c>
      <c r="C13" s="2" t="s">
        <v>16</v>
      </c>
      <c r="D13" s="2" t="s">
        <v>9</v>
      </c>
      <c r="E13" s="2" t="s">
        <v>10</v>
      </c>
      <c r="G13">
        <f>(data!G13/data!F13)^(1/5)-1</f>
        <v>4.4654137602972988E-2</v>
      </c>
      <c r="H13">
        <f>(data!H13/data!G13)^(1/5)-1</f>
        <v>4.7787560368073301E-2</v>
      </c>
      <c r="I13">
        <f>(data!I13/data!H13)^(1/5)-1</f>
        <v>4.5244430684026282E-2</v>
      </c>
      <c r="J13">
        <f>(data!J13/data!I13)^(1/5)-1</f>
        <v>5.0480932226982356E-2</v>
      </c>
      <c r="K13">
        <f>(data!K13/data!J13)^(1/5)-1</f>
        <v>4.773435848604346E-2</v>
      </c>
      <c r="L13">
        <f>(data!L13/data!K13)^(1/5)-1</f>
        <v>4.5238443239195236E-2</v>
      </c>
      <c r="M13">
        <f>(data!M13/data!L13)^(1/5)-1</f>
        <v>4.1818965808961828E-2</v>
      </c>
      <c r="N13">
        <f>(data!N13/data!M13)^(1/5)-1</f>
        <v>4.0324411602393084E-2</v>
      </c>
      <c r="O13">
        <f>(data!O13/data!N13)^(1/5)-1</f>
        <v>3.8913667238141159E-2</v>
      </c>
      <c r="P13">
        <f>(data!P13/data!O13)^(1/5)-1</f>
        <v>3.7738219468189893E-2</v>
      </c>
      <c r="Q13">
        <f>(data!Q13/data!P13)^(1/5)-1</f>
        <v>3.7334362350454731E-2</v>
      </c>
      <c r="R13">
        <f>(data!R13/data!Q13)^(1/5)-1</f>
        <v>3.7054784923914674E-2</v>
      </c>
      <c r="S13">
        <f>(data!S13/data!R13)^(1/5)-1</f>
        <v>3.648610604992264E-2</v>
      </c>
      <c r="T13">
        <f>(data!T13/data!S13)^(1/5)-1</f>
        <v>3.5410237652036436E-2</v>
      </c>
      <c r="U13">
        <f>(data!U13/data!T13)^(1/5)-1</f>
        <v>3.4083131227124808E-2</v>
      </c>
      <c r="V13">
        <f>(data!V13/data!U13)^(1/5)-1</f>
        <v>3.2695288385478971E-2</v>
      </c>
      <c r="W13">
        <f>(data!W13/data!V13)^(1/5)-1</f>
        <v>3.1236751170241162E-2</v>
      </c>
      <c r="X13">
        <f>(data!X13/data!W13)^(1/5)-1</f>
        <v>2.9786931940632533E-2</v>
      </c>
      <c r="Y13">
        <f>(data!Y13/data!X13)^(1/5)-1</f>
        <v>2.8252832781480386E-2</v>
      </c>
      <c r="Z13">
        <f>(data!Z13/data!Y13)^(1/5)-1</f>
        <v>2.6610590025047509E-2</v>
      </c>
    </row>
    <row r="14" spans="1:27" x14ac:dyDescent="0.55000000000000004">
      <c r="A14" s="2" t="s">
        <v>6</v>
      </c>
      <c r="B14" s="2" t="s">
        <v>12</v>
      </c>
      <c r="C14" s="2" t="s">
        <v>16</v>
      </c>
      <c r="D14" s="2" t="s">
        <v>9</v>
      </c>
      <c r="E14" s="2" t="s">
        <v>10</v>
      </c>
      <c r="G14">
        <f>(data!G14/data!F14)^(1/5)-1</f>
        <v>4.4654137602972988E-2</v>
      </c>
      <c r="H14">
        <f>(data!H14/data!G14)^(1/5)-1</f>
        <v>4.778587236827625E-2</v>
      </c>
      <c r="I14">
        <f>(data!I14/data!H14)^(1/5)-1</f>
        <v>4.5242159717998387E-2</v>
      </c>
      <c r="J14">
        <f>(data!J14/data!I14)^(1/5)-1</f>
        <v>5.0161936723212897E-2</v>
      </c>
      <c r="K14">
        <f>(data!K14/data!J14)^(1/5)-1</f>
        <v>4.4408727570935058E-2</v>
      </c>
      <c r="L14">
        <f>(data!L14/data!K14)^(1/5)-1</f>
        <v>3.9646639210392243E-2</v>
      </c>
      <c r="M14">
        <f>(data!M14/data!L14)^(1/5)-1</f>
        <v>3.4375284722129251E-2</v>
      </c>
      <c r="N14">
        <f>(data!N14/data!M14)^(1/5)-1</f>
        <v>3.0876230910877656E-2</v>
      </c>
      <c r="O14">
        <f>(data!O14/data!N14)^(1/5)-1</f>
        <v>2.7539967276123622E-2</v>
      </c>
      <c r="P14">
        <f>(data!P14/data!O14)^(1/5)-1</f>
        <v>2.4893987311122023E-2</v>
      </c>
      <c r="Q14">
        <f>(data!Q14/data!P14)^(1/5)-1</f>
        <v>2.372414283375579E-2</v>
      </c>
      <c r="R14">
        <f>(data!R14/data!Q14)^(1/5)-1</f>
        <v>2.3517706091285229E-2</v>
      </c>
      <c r="S14">
        <f>(data!S14/data!R14)^(1/5)-1</f>
        <v>2.3637213804460711E-2</v>
      </c>
      <c r="T14">
        <f>(data!T14/data!S14)^(1/5)-1</f>
        <v>2.350654143646258E-2</v>
      </c>
      <c r="U14">
        <f>(data!U14/data!T14)^(1/5)-1</f>
        <v>2.3469519064034161E-2</v>
      </c>
      <c r="V14">
        <f>(data!V14/data!U14)^(1/5)-1</f>
        <v>2.3140196895607756E-2</v>
      </c>
      <c r="W14">
        <f>(data!W14/data!V14)^(1/5)-1</f>
        <v>2.2618403105560958E-2</v>
      </c>
      <c r="X14">
        <f>(data!X14/data!W14)^(1/5)-1</f>
        <v>2.2042977331587332E-2</v>
      </c>
      <c r="Y14">
        <f>(data!Y14/data!X14)^(1/5)-1</f>
        <v>2.14172285076768E-2</v>
      </c>
      <c r="Z14">
        <f>(data!Z14/data!Y14)^(1/5)-1</f>
        <v>2.0758554855537348E-2</v>
      </c>
    </row>
    <row r="15" spans="1:27" x14ac:dyDescent="0.55000000000000004">
      <c r="A15" s="2" t="s">
        <v>6</v>
      </c>
      <c r="B15" s="2" t="s">
        <v>13</v>
      </c>
      <c r="C15" s="2" t="s">
        <v>16</v>
      </c>
      <c r="D15" s="2" t="s">
        <v>9</v>
      </c>
      <c r="E15" s="2" t="s">
        <v>10</v>
      </c>
      <c r="G15">
        <f>(data!G15/data!F15)^(1/5)-1</f>
        <v>4.4654137602972988E-2</v>
      </c>
      <c r="H15">
        <f>(data!H15/data!G15)^(1/5)-1</f>
        <v>4.7787560368073301E-2</v>
      </c>
      <c r="I15">
        <f>(data!I15/data!H15)^(1/5)-1</f>
        <v>4.5365464551023971E-2</v>
      </c>
      <c r="J15">
        <f>(data!J15/data!I15)^(1/5)-1</f>
        <v>5.0132883567064468E-2</v>
      </c>
      <c r="K15">
        <f>(data!K15/data!J15)^(1/5)-1</f>
        <v>4.5660733224471839E-2</v>
      </c>
      <c r="L15">
        <f>(data!L15/data!K15)^(1/5)-1</f>
        <v>4.2783901245552203E-2</v>
      </c>
      <c r="M15">
        <f>(data!M15/data!L15)^(1/5)-1</f>
        <v>3.7777687842614371E-2</v>
      </c>
      <c r="N15">
        <f>(data!N15/data!M15)^(1/5)-1</f>
        <v>3.3529140242238409E-2</v>
      </c>
      <c r="O15">
        <f>(data!O15/data!N15)^(1/5)-1</f>
        <v>2.9412241438496078E-2</v>
      </c>
      <c r="P15">
        <f>(data!P15/data!O15)^(1/5)-1</f>
        <v>2.5951974518910736E-2</v>
      </c>
      <c r="Q15">
        <f>(data!Q15/data!P15)^(1/5)-1</f>
        <v>2.4020056088299491E-2</v>
      </c>
      <c r="R15">
        <f>(data!R15/data!Q15)^(1/5)-1</f>
        <v>2.2924405994348529E-2</v>
      </c>
      <c r="S15">
        <f>(data!S15/data!R15)^(1/5)-1</f>
        <v>2.2020071119289275E-2</v>
      </c>
      <c r="T15">
        <f>(data!T15/data!S15)^(1/5)-1</f>
        <v>2.1020718970115038E-2</v>
      </c>
      <c r="U15">
        <f>(data!U15/data!T15)^(1/5)-1</f>
        <v>2.0166855102746295E-2</v>
      </c>
      <c r="V15">
        <f>(data!V15/data!U15)^(1/5)-1</f>
        <v>1.9467334091772592E-2</v>
      </c>
      <c r="W15">
        <f>(data!W15/data!V15)^(1/5)-1</f>
        <v>1.8813476565972209E-2</v>
      </c>
      <c r="X15">
        <f>(data!X15/data!W15)^(1/5)-1</f>
        <v>1.8288837506462929E-2</v>
      </c>
      <c r="Y15">
        <f>(data!Y15/data!X15)^(1/5)-1</f>
        <v>1.7810797202645778E-2</v>
      </c>
      <c r="Z15">
        <f>(data!Z15/data!Y15)^(1/5)-1</f>
        <v>1.7280449400586706E-2</v>
      </c>
    </row>
    <row r="16" spans="1:27" x14ac:dyDescent="0.55000000000000004">
      <c r="A16" s="2" t="s">
        <v>6</v>
      </c>
      <c r="B16" s="2" t="s">
        <v>14</v>
      </c>
      <c r="C16" s="2" t="s">
        <v>16</v>
      </c>
      <c r="D16" s="2" t="s">
        <v>9</v>
      </c>
      <c r="E16" s="2" t="s">
        <v>10</v>
      </c>
      <c r="G16">
        <f>(data!G16/data!F16)^(1/5)-1</f>
        <v>4.4654137602972988E-2</v>
      </c>
      <c r="H16">
        <f>(data!H16/data!G16)^(1/5)-1</f>
        <v>4.7789326867840654E-2</v>
      </c>
      <c r="I16">
        <f>(data!I16/data!H16)^(1/5)-1</f>
        <v>4.4923984958699537E-2</v>
      </c>
      <c r="J16">
        <f>(data!J16/data!I16)^(1/5)-1</f>
        <v>5.16275943263238E-2</v>
      </c>
      <c r="K16">
        <f>(data!K16/data!J16)^(1/5)-1</f>
        <v>5.7334420229993688E-2</v>
      </c>
      <c r="L16">
        <f>(data!L16/data!K16)^(1/5)-1</f>
        <v>6.3455400296141162E-2</v>
      </c>
      <c r="M16">
        <f>(data!M16/data!L16)^(1/5)-1</f>
        <v>6.5007244808849229E-2</v>
      </c>
      <c r="N16">
        <f>(data!N16/data!M16)^(1/5)-1</f>
        <v>6.0972430916610865E-2</v>
      </c>
      <c r="O16">
        <f>(data!O16/data!N16)^(1/5)-1</f>
        <v>5.6117623291882746E-2</v>
      </c>
      <c r="P16">
        <f>(data!P16/data!O16)^(1/5)-1</f>
        <v>5.1477052679276714E-2</v>
      </c>
      <c r="Q16">
        <f>(data!Q16/data!P16)^(1/5)-1</f>
        <v>4.8022113317343962E-2</v>
      </c>
      <c r="R16">
        <f>(data!R16/data!Q16)^(1/5)-1</f>
        <v>4.5174703812817851E-2</v>
      </c>
      <c r="S16">
        <f>(data!S16/data!R16)^(1/5)-1</f>
        <v>4.2173037546100911E-2</v>
      </c>
      <c r="T16">
        <f>(data!T16/data!S16)^(1/5)-1</f>
        <v>3.8685628207024925E-2</v>
      </c>
      <c r="U16">
        <f>(data!U16/data!T16)^(1/5)-1</f>
        <v>3.5344006997713784E-2</v>
      </c>
      <c r="V16">
        <f>(data!V16/data!U16)^(1/5)-1</f>
        <v>3.2610477886323874E-2</v>
      </c>
      <c r="W16">
        <f>(data!W16/data!V16)^(1/5)-1</f>
        <v>3.0028874465855893E-2</v>
      </c>
      <c r="X16">
        <f>(data!X16/data!W16)^(1/5)-1</f>
        <v>2.7614944563289612E-2</v>
      </c>
      <c r="Y16">
        <f>(data!Y16/data!X16)^(1/5)-1</f>
        <v>2.5332444216824568E-2</v>
      </c>
      <c r="Z16">
        <f>(data!Z16/data!Y16)^(1/5)-1</f>
        <v>2.2943256355088648E-2</v>
      </c>
    </row>
    <row r="17" spans="1:26" x14ac:dyDescent="0.55000000000000004">
      <c r="A17" s="2" t="s">
        <v>6</v>
      </c>
      <c r="B17" s="2" t="s">
        <v>7</v>
      </c>
      <c r="C17" s="2" t="s">
        <v>17</v>
      </c>
      <c r="D17" s="2" t="s">
        <v>9</v>
      </c>
      <c r="E17" s="2" t="s">
        <v>10</v>
      </c>
      <c r="G17">
        <f>(data!G17/data!F17)^(1/5)-1</f>
        <v>2.0737941071168997E-2</v>
      </c>
      <c r="H17">
        <f>(data!H17/data!G17)^(1/5)-1</f>
        <v>7.9151544904041415E-3</v>
      </c>
      <c r="I17">
        <f>(data!I17/data!H17)^(1/5)-1</f>
        <v>1.9943092015531017E-2</v>
      </c>
      <c r="J17">
        <f>(data!J17/data!I17)^(1/5)-1</f>
        <v>2.3734926122514155E-2</v>
      </c>
      <c r="K17">
        <f>(data!K17/data!J17)^(1/5)-1</f>
        <v>2.1984039803326638E-2</v>
      </c>
      <c r="L17">
        <f>(data!L17/data!K17)^(1/5)-1</f>
        <v>2.1477133843065266E-2</v>
      </c>
      <c r="M17">
        <f>(data!M17/data!L17)^(1/5)-1</f>
        <v>2.0679102446778064E-2</v>
      </c>
      <c r="N17">
        <f>(data!N17/data!M17)^(1/5)-1</f>
        <v>1.9038312162727999E-2</v>
      </c>
      <c r="O17">
        <f>(data!O17/data!N17)^(1/5)-1</f>
        <v>1.7182950430313815E-2</v>
      </c>
      <c r="P17">
        <f>(data!P17/data!O17)^(1/5)-1</f>
        <v>1.5040618396020777E-2</v>
      </c>
      <c r="Q17">
        <f>(data!Q17/data!P17)^(1/5)-1</f>
        <v>1.3909899560048178E-2</v>
      </c>
      <c r="R17">
        <f>(data!R17/data!Q17)^(1/5)-1</f>
        <v>1.3491517201934311E-2</v>
      </c>
      <c r="S17">
        <f>(data!S17/data!R17)^(1/5)-1</f>
        <v>1.2992485630138884E-2</v>
      </c>
      <c r="T17">
        <f>(data!T17/data!S17)^(1/5)-1</f>
        <v>1.1944949572556984E-2</v>
      </c>
      <c r="U17">
        <f>(data!U17/data!T17)^(1/5)-1</f>
        <v>1.0777514493094609E-2</v>
      </c>
      <c r="V17">
        <f>(data!V17/data!U17)^(1/5)-1</f>
        <v>1.0032416588003468E-2</v>
      </c>
      <c r="W17">
        <f>(data!W17/data!V17)^(1/5)-1</f>
        <v>9.1009195549687227E-3</v>
      </c>
      <c r="X17">
        <f>(data!X17/data!W17)^(1/5)-1</f>
        <v>8.3640546838801288E-3</v>
      </c>
      <c r="Y17">
        <f>(data!Y17/data!X17)^(1/5)-1</f>
        <v>7.7292518617255723E-3</v>
      </c>
      <c r="Z17">
        <f>(data!Z17/data!Y17)^(1/5)-1</f>
        <v>7.0121544671644109E-3</v>
      </c>
    </row>
    <row r="18" spans="1:26" x14ac:dyDescent="0.55000000000000004">
      <c r="A18" s="2" t="s">
        <v>6</v>
      </c>
      <c r="B18" s="2" t="s">
        <v>11</v>
      </c>
      <c r="C18" s="2" t="s">
        <v>17</v>
      </c>
      <c r="D18" s="2" t="s">
        <v>9</v>
      </c>
      <c r="E18" s="2" t="s">
        <v>10</v>
      </c>
      <c r="G18">
        <f>(data!G18/data!F18)^(1/5)-1</f>
        <v>2.0737941071168997E-2</v>
      </c>
      <c r="H18">
        <f>(data!H18/data!G18)^(1/5)-1</f>
        <v>7.9151544904041415E-3</v>
      </c>
      <c r="I18">
        <f>(data!I18/data!H18)^(1/5)-1</f>
        <v>1.9701571023327924E-2</v>
      </c>
      <c r="J18">
        <f>(data!J18/data!I18)^(1/5)-1</f>
        <v>2.2811001037675638E-2</v>
      </c>
      <c r="K18">
        <f>(data!K18/data!J18)^(1/5)-1</f>
        <v>1.9394194399945164E-2</v>
      </c>
      <c r="L18">
        <f>(data!L18/data!K18)^(1/5)-1</f>
        <v>1.7132104021399863E-2</v>
      </c>
      <c r="M18">
        <f>(data!M18/data!L18)^(1/5)-1</f>
        <v>1.5497098082895011E-2</v>
      </c>
      <c r="N18">
        <f>(data!N18/data!M18)^(1/5)-1</f>
        <v>1.4684306396412605E-2</v>
      </c>
      <c r="O18">
        <f>(data!O18/data!N18)^(1/5)-1</f>
        <v>1.3833366663737134E-2</v>
      </c>
      <c r="P18">
        <f>(data!P18/data!O18)^(1/5)-1</f>
        <v>1.2719399631408557E-2</v>
      </c>
      <c r="Q18">
        <f>(data!Q18/data!P18)^(1/5)-1</f>
        <v>1.2345292726266166E-2</v>
      </c>
      <c r="R18">
        <f>(data!R18/data!Q18)^(1/5)-1</f>
        <v>1.2455920264429432E-2</v>
      </c>
      <c r="S18">
        <f>(data!S18/data!R18)^(1/5)-1</f>
        <v>1.2336768747924332E-2</v>
      </c>
      <c r="T18">
        <f>(data!T18/data!S18)^(1/5)-1</f>
        <v>1.1677620521084897E-2</v>
      </c>
      <c r="U18">
        <f>(data!U18/data!T18)^(1/5)-1</f>
        <v>1.0863534881592418E-2</v>
      </c>
      <c r="V18">
        <f>(data!V18/data!U18)^(1/5)-1</f>
        <v>1.0388461507060187E-2</v>
      </c>
      <c r="W18">
        <f>(data!W18/data!V18)^(1/5)-1</f>
        <v>9.7684190975655394E-3</v>
      </c>
      <c r="X18">
        <f>(data!X18/data!W18)^(1/5)-1</f>
        <v>9.2655315302039298E-3</v>
      </c>
      <c r="Y18">
        <f>(data!Y18/data!X18)^(1/5)-1</f>
        <v>8.8404641272625817E-3</v>
      </c>
      <c r="Z18">
        <f>(data!Z18/data!Y18)^(1/5)-1</f>
        <v>8.3670149434562635E-3</v>
      </c>
    </row>
    <row r="19" spans="1:26" x14ac:dyDescent="0.55000000000000004">
      <c r="A19" s="2" t="s">
        <v>6</v>
      </c>
      <c r="B19" s="2" t="s">
        <v>12</v>
      </c>
      <c r="C19" s="2" t="s">
        <v>17</v>
      </c>
      <c r="D19" s="2" t="s">
        <v>9</v>
      </c>
      <c r="E19" s="2" t="s">
        <v>10</v>
      </c>
      <c r="G19">
        <f>(data!G19/data!F19)^(1/5)-1</f>
        <v>2.0737941071168997E-2</v>
      </c>
      <c r="H19">
        <f>(data!H19/data!G19)^(1/5)-1</f>
        <v>7.9151544904041415E-3</v>
      </c>
      <c r="I19">
        <f>(data!I19/data!H19)^(1/5)-1</f>
        <v>1.8384693972067989E-2</v>
      </c>
      <c r="J19">
        <f>(data!J19/data!I19)^(1/5)-1</f>
        <v>1.9983827028279277E-2</v>
      </c>
      <c r="K19">
        <f>(data!K19/data!J19)^(1/5)-1</f>
        <v>1.4902141275286995E-2</v>
      </c>
      <c r="L19">
        <f>(data!L19/data!K19)^(1/5)-1</f>
        <v>1.1285646552464668E-2</v>
      </c>
      <c r="M19">
        <f>(data!M19/data!L19)^(1/5)-1</f>
        <v>8.6976728956473792E-3</v>
      </c>
      <c r="N19">
        <f>(data!N19/data!M19)^(1/5)-1</f>
        <v>7.220308636037176E-3</v>
      </c>
      <c r="O19">
        <f>(data!O19/data!N19)^(1/5)-1</f>
        <v>5.7498826498323385E-3</v>
      </c>
      <c r="P19">
        <f>(data!P19/data!O19)^(1/5)-1</f>
        <v>3.9402091391720351E-3</v>
      </c>
      <c r="Q19">
        <f>(data!Q19/data!P19)^(1/5)-1</f>
        <v>2.9665845334636565E-3</v>
      </c>
      <c r="R19">
        <f>(data!R19/data!Q19)^(1/5)-1</f>
        <v>2.6521222345006201E-3</v>
      </c>
      <c r="S19">
        <f>(data!S19/data!R19)^(1/5)-1</f>
        <v>2.2338047245162862E-3</v>
      </c>
      <c r="T19">
        <f>(data!T19/data!S19)^(1/5)-1</f>
        <v>1.070720615087728E-3</v>
      </c>
      <c r="U19">
        <f>(data!U19/data!T19)^(1/5)-1</f>
        <v>-1.9172765592478935E-4</v>
      </c>
      <c r="V19">
        <f>(data!V19/data!U19)^(1/5)-1</f>
        <v>-7.2611262723243364E-4</v>
      </c>
      <c r="W19">
        <f>(data!W19/data!V19)^(1/5)-1</f>
        <v>-1.3569115188841741E-3</v>
      </c>
      <c r="X19">
        <f>(data!X19/data!W19)^(1/5)-1</f>
        <v>-1.6160361475805463E-3</v>
      </c>
      <c r="Y19">
        <f>(data!Y19/data!X19)^(1/5)-1</f>
        <v>-1.7200184716197331E-3</v>
      </c>
      <c r="Z19">
        <f>(data!Z19/data!Y19)^(1/5)-1</f>
        <v>-2.1691469793876372E-3</v>
      </c>
    </row>
    <row r="20" spans="1:26" x14ac:dyDescent="0.55000000000000004">
      <c r="A20" s="2" t="s">
        <v>6</v>
      </c>
      <c r="B20" s="2" t="s">
        <v>13</v>
      </c>
      <c r="C20" s="2" t="s">
        <v>17</v>
      </c>
      <c r="D20" s="2" t="s">
        <v>9</v>
      </c>
      <c r="E20" s="2" t="s">
        <v>10</v>
      </c>
      <c r="G20">
        <f>(data!G20/data!F20)^(1/5)-1</f>
        <v>2.0737941071168997E-2</v>
      </c>
      <c r="H20">
        <f>(data!H20/data!G20)^(1/5)-1</f>
        <v>7.9151544904041415E-3</v>
      </c>
      <c r="I20">
        <f>(data!I20/data!H20)^(1/5)-1</f>
        <v>1.9243247410481779E-2</v>
      </c>
      <c r="J20">
        <f>(data!J20/data!I20)^(1/5)-1</f>
        <v>2.2407261900626141E-2</v>
      </c>
      <c r="K20">
        <f>(data!K20/data!J20)^(1/5)-1</f>
        <v>2.0905738038718535E-2</v>
      </c>
      <c r="L20">
        <f>(data!L20/data!K20)^(1/5)-1</f>
        <v>2.0201380517825385E-2</v>
      </c>
      <c r="M20">
        <f>(data!M20/data!L20)^(1/5)-1</f>
        <v>1.9009140412115766E-2</v>
      </c>
      <c r="N20">
        <f>(data!N20/data!M20)^(1/5)-1</f>
        <v>1.6966016312518262E-2</v>
      </c>
      <c r="O20">
        <f>(data!O20/data!N20)^(1/5)-1</f>
        <v>1.4955731867302813E-2</v>
      </c>
      <c r="P20">
        <f>(data!P20/data!O20)^(1/5)-1</f>
        <v>1.2932427515934597E-2</v>
      </c>
      <c r="Q20">
        <f>(data!Q20/data!P20)^(1/5)-1</f>
        <v>1.1907672936615876E-2</v>
      </c>
      <c r="R20">
        <f>(data!R20/data!Q20)^(1/5)-1</f>
        <v>1.1628023740860138E-2</v>
      </c>
      <c r="S20">
        <f>(data!S20/data!R20)^(1/5)-1</f>
        <v>1.108163303538956E-2</v>
      </c>
      <c r="T20">
        <f>(data!T20/data!S20)^(1/5)-1</f>
        <v>9.8690346792105199E-3</v>
      </c>
      <c r="U20">
        <f>(data!U20/data!T20)^(1/5)-1</f>
        <v>8.5244883510917635E-3</v>
      </c>
      <c r="V20">
        <f>(data!V20/data!U20)^(1/5)-1</f>
        <v>7.8714444514993431E-3</v>
      </c>
      <c r="W20">
        <f>(data!W20/data!V20)^(1/5)-1</f>
        <v>7.0440281159687146E-3</v>
      </c>
      <c r="X20">
        <f>(data!X20/data!W20)^(1/5)-1</f>
        <v>6.4693476272779105E-3</v>
      </c>
      <c r="Y20">
        <f>(data!Y20/data!X20)^(1/5)-1</f>
        <v>6.0282378284719496E-3</v>
      </c>
      <c r="Z20">
        <f>(data!Z20/data!Y20)^(1/5)-1</f>
        <v>5.256980793708621E-3</v>
      </c>
    </row>
    <row r="21" spans="1:26" x14ac:dyDescent="0.55000000000000004">
      <c r="A21" s="2" t="s">
        <v>6</v>
      </c>
      <c r="B21" s="2" t="s">
        <v>14</v>
      </c>
      <c r="C21" s="2" t="s">
        <v>17</v>
      </c>
      <c r="D21" s="2" t="s">
        <v>9</v>
      </c>
      <c r="E21" s="2" t="s">
        <v>10</v>
      </c>
      <c r="G21">
        <f>(data!G21/data!F21)^(1/5)-1</f>
        <v>2.0737941071168997E-2</v>
      </c>
      <c r="H21">
        <f>(data!H21/data!G21)^(1/5)-1</f>
        <v>7.9151544904041415E-3</v>
      </c>
      <c r="I21">
        <f>(data!I21/data!H21)^(1/5)-1</f>
        <v>2.103717742456257E-2</v>
      </c>
      <c r="J21">
        <f>(data!J21/data!I21)^(1/5)-1</f>
        <v>2.6239981916363231E-2</v>
      </c>
      <c r="K21">
        <f>(data!K21/data!J21)^(1/5)-1</f>
        <v>2.7504603106964787E-2</v>
      </c>
      <c r="L21">
        <f>(data!L21/data!K21)^(1/5)-1</f>
        <v>2.9364290557476469E-2</v>
      </c>
      <c r="M21">
        <f>(data!M21/data!L21)^(1/5)-1</f>
        <v>2.9594427093137421E-2</v>
      </c>
      <c r="N21">
        <f>(data!N21/data!M21)^(1/5)-1</f>
        <v>2.7869806275287123E-2</v>
      </c>
      <c r="O21">
        <f>(data!O21/data!N21)^(1/5)-1</f>
        <v>2.6420436344175569E-2</v>
      </c>
      <c r="P21">
        <f>(data!P21/data!O21)^(1/5)-1</f>
        <v>2.4877480885715286E-2</v>
      </c>
      <c r="Q21">
        <f>(data!Q21/data!P21)^(1/5)-1</f>
        <v>2.423872745455391E-2</v>
      </c>
      <c r="R21">
        <f>(data!R21/data!Q21)^(1/5)-1</f>
        <v>2.419840120646688E-2</v>
      </c>
      <c r="S21">
        <f>(data!S21/data!R21)^(1/5)-1</f>
        <v>2.4020240202249576E-2</v>
      </c>
      <c r="T21">
        <f>(data!T21/data!S21)^(1/5)-1</f>
        <v>2.3494074314247104E-2</v>
      </c>
      <c r="U21">
        <f>(data!U21/data!T21)^(1/5)-1</f>
        <v>2.2849205172905229E-2</v>
      </c>
      <c r="V21">
        <f>(data!V21/data!U21)^(1/5)-1</f>
        <v>2.2212058338980434E-2</v>
      </c>
      <c r="W21">
        <f>(data!W21/data!V21)^(1/5)-1</f>
        <v>2.1415188082229308E-2</v>
      </c>
      <c r="X21">
        <f>(data!X21/data!W21)^(1/5)-1</f>
        <v>2.073252045349272E-2</v>
      </c>
      <c r="Y21">
        <f>(data!Y21/data!X21)^(1/5)-1</f>
        <v>2.0154647805055381E-2</v>
      </c>
      <c r="Z21">
        <f>(data!Z21/data!Y21)^(1/5)-1</f>
        <v>1.9717658870268773E-2</v>
      </c>
    </row>
    <row r="22" spans="1:26" x14ac:dyDescent="0.55000000000000004">
      <c r="A22" s="2" t="s">
        <v>6</v>
      </c>
      <c r="B22" s="2" t="s">
        <v>7</v>
      </c>
      <c r="C22" s="2" t="s">
        <v>18</v>
      </c>
      <c r="D22" s="2" t="s">
        <v>9</v>
      </c>
      <c r="E22" s="2" t="s">
        <v>10</v>
      </c>
      <c r="G22">
        <f>(data!G22/data!F22)^(1/5)-1</f>
        <v>5.7536279393589185E-2</v>
      </c>
      <c r="H22">
        <f>(data!H22/data!G22)^(1/5)-1</f>
        <v>3.6105849048800875E-2</v>
      </c>
      <c r="I22">
        <f>(data!I22/data!H22)^(1/5)-1</f>
        <v>3.5255137178679341E-2</v>
      </c>
      <c r="J22">
        <f>(data!J22/data!I22)^(1/5)-1</f>
        <v>3.7392288761343595E-2</v>
      </c>
      <c r="K22">
        <f>(data!K22/data!J22)^(1/5)-1</f>
        <v>3.7402682962182077E-2</v>
      </c>
      <c r="L22">
        <f>(data!L22/data!K22)^(1/5)-1</f>
        <v>3.69672805679504E-2</v>
      </c>
      <c r="M22">
        <f>(data!M22/data!L22)^(1/5)-1</f>
        <v>3.3522146870595737E-2</v>
      </c>
      <c r="N22">
        <f>(data!N22/data!M22)^(1/5)-1</f>
        <v>2.7008985346609116E-2</v>
      </c>
      <c r="O22">
        <f>(data!O22/data!N22)^(1/5)-1</f>
        <v>2.008232963355927E-2</v>
      </c>
      <c r="P22">
        <f>(data!P22/data!O22)^(1/5)-1</f>
        <v>1.4436388312655257E-2</v>
      </c>
      <c r="Q22">
        <f>(data!Q22/data!P22)^(1/5)-1</f>
        <v>1.1633555089814784E-2</v>
      </c>
      <c r="R22">
        <f>(data!R22/data!Q22)^(1/5)-1</f>
        <v>1.1426088787792388E-2</v>
      </c>
      <c r="S22">
        <f>(data!S22/data!R22)^(1/5)-1</f>
        <v>1.061476622666957E-2</v>
      </c>
      <c r="T22">
        <f>(data!T22/data!S22)^(1/5)-1</f>
        <v>8.3398667771534818E-3</v>
      </c>
      <c r="U22">
        <f>(data!U22/data!T22)^(1/5)-1</f>
        <v>5.4756245445037877E-3</v>
      </c>
      <c r="V22">
        <f>(data!V22/data!U22)^(1/5)-1</f>
        <v>3.8071499150593713E-3</v>
      </c>
      <c r="W22">
        <f>(data!W22/data!V22)^(1/5)-1</f>
        <v>2.8696561780376939E-3</v>
      </c>
      <c r="X22">
        <f>(data!X22/data!W22)^(1/5)-1</f>
        <v>2.3832387155275914E-3</v>
      </c>
      <c r="Y22">
        <f>(data!Y22/data!X22)^(1/5)-1</f>
        <v>1.9707454908091115E-3</v>
      </c>
      <c r="Z22">
        <f>(data!Z22/data!Y22)^(1/5)-1</f>
        <v>8.9780207635459242E-4</v>
      </c>
    </row>
    <row r="23" spans="1:26" x14ac:dyDescent="0.55000000000000004">
      <c r="A23" s="2" t="s">
        <v>6</v>
      </c>
      <c r="B23" s="2" t="s">
        <v>11</v>
      </c>
      <c r="C23" s="2" t="s">
        <v>18</v>
      </c>
      <c r="D23" s="2" t="s">
        <v>9</v>
      </c>
      <c r="E23" s="2" t="s">
        <v>10</v>
      </c>
      <c r="G23">
        <f>(data!G23/data!F23)^(1/5)-1</f>
        <v>5.7536279393589185E-2</v>
      </c>
      <c r="H23">
        <f>(data!H23/data!G23)^(1/5)-1</f>
        <v>3.6105849048800875E-2</v>
      </c>
      <c r="I23">
        <f>(data!I23/data!H23)^(1/5)-1</f>
        <v>3.5518616193559893E-2</v>
      </c>
      <c r="J23">
        <f>(data!J23/data!I23)^(1/5)-1</f>
        <v>3.6382296714301487E-2</v>
      </c>
      <c r="K23">
        <f>(data!K23/data!J23)^(1/5)-1</f>
        <v>3.3221145639723337E-2</v>
      </c>
      <c r="L23">
        <f>(data!L23/data!K23)^(1/5)-1</f>
        <v>2.9338462684066924E-2</v>
      </c>
      <c r="M23">
        <f>(data!M23/data!L23)^(1/5)-1</f>
        <v>2.5150332949116949E-2</v>
      </c>
      <c r="N23">
        <f>(data!N23/data!M23)^(1/5)-1</f>
        <v>2.1153356646643751E-2</v>
      </c>
      <c r="O23">
        <f>(data!O23/data!N23)^(1/5)-1</f>
        <v>1.6931503202420206E-2</v>
      </c>
      <c r="P23">
        <f>(data!P23/data!O23)^(1/5)-1</f>
        <v>1.3805499833492219E-2</v>
      </c>
      <c r="Q23">
        <f>(data!Q23/data!P23)^(1/5)-1</f>
        <v>1.2920059233295644E-2</v>
      </c>
      <c r="R23">
        <f>(data!R23/data!Q23)^(1/5)-1</f>
        <v>1.4064121070836988E-2</v>
      </c>
      <c r="S23">
        <f>(data!S23/data!R23)^(1/5)-1</f>
        <v>1.4029360576303551E-2</v>
      </c>
      <c r="T23">
        <f>(data!T23/data!S23)^(1/5)-1</f>
        <v>1.2988572707377077E-2</v>
      </c>
      <c r="U23">
        <f>(data!U23/data!T23)^(1/5)-1</f>
        <v>1.1198291365673407E-2</v>
      </c>
      <c r="V23">
        <f>(data!V23/data!U23)^(1/5)-1</f>
        <v>9.9187698794760415E-3</v>
      </c>
      <c r="W23">
        <f>(data!W23/data!V23)^(1/5)-1</f>
        <v>9.22330281242556E-3</v>
      </c>
      <c r="X23">
        <f>(data!X23/data!W23)^(1/5)-1</f>
        <v>8.9156167637749473E-3</v>
      </c>
      <c r="Y23">
        <f>(data!Y23/data!X23)^(1/5)-1</f>
        <v>8.6748402927780965E-3</v>
      </c>
      <c r="Z23">
        <f>(data!Z23/data!Y23)^(1/5)-1</f>
        <v>8.1004269266014006E-3</v>
      </c>
    </row>
    <row r="24" spans="1:26" x14ac:dyDescent="0.55000000000000004">
      <c r="A24" s="2" t="s">
        <v>6</v>
      </c>
      <c r="B24" s="2" t="s">
        <v>12</v>
      </c>
      <c r="C24" s="2" t="s">
        <v>18</v>
      </c>
      <c r="D24" s="2" t="s">
        <v>9</v>
      </c>
      <c r="E24" s="2" t="s">
        <v>10</v>
      </c>
      <c r="G24">
        <f>(data!G24/data!F24)^(1/5)-1</f>
        <v>5.7536279393589185E-2</v>
      </c>
      <c r="H24">
        <f>(data!H24/data!G24)^(1/5)-1</f>
        <v>3.6105849048800875E-2</v>
      </c>
      <c r="I24">
        <f>(data!I24/data!H24)^(1/5)-1</f>
        <v>3.5375244269209905E-2</v>
      </c>
      <c r="J24">
        <f>(data!J24/data!I24)^(1/5)-1</f>
        <v>3.5149353329088084E-2</v>
      </c>
      <c r="K24">
        <f>(data!K24/data!J24)^(1/5)-1</f>
        <v>2.9192967795975466E-2</v>
      </c>
      <c r="L24">
        <f>(data!L24/data!K24)^(1/5)-1</f>
        <v>2.3549396209067597E-2</v>
      </c>
      <c r="M24">
        <f>(data!M24/data!L24)^(1/5)-1</f>
        <v>1.8632019516181986E-2</v>
      </c>
      <c r="N24">
        <f>(data!N24/data!M24)^(1/5)-1</f>
        <v>1.4508781620176547E-2</v>
      </c>
      <c r="O24">
        <f>(data!O24/data!N24)^(1/5)-1</f>
        <v>9.4472900167126284E-3</v>
      </c>
      <c r="P24">
        <f>(data!P24/data!O24)^(1/5)-1</f>
        <v>5.5503029492238731E-3</v>
      </c>
      <c r="Q24">
        <f>(data!Q24/data!P24)^(1/5)-1</f>
        <v>4.6584635174502509E-3</v>
      </c>
      <c r="R24">
        <f>(data!R24/data!Q24)^(1/5)-1</f>
        <v>6.6447965648765983E-3</v>
      </c>
      <c r="S24">
        <f>(data!S24/data!R24)^(1/5)-1</f>
        <v>8.2731717879833688E-3</v>
      </c>
      <c r="T24">
        <f>(data!T24/data!S24)^(1/5)-1</f>
        <v>8.4808859061236141E-3</v>
      </c>
      <c r="U24">
        <f>(data!U24/data!T24)^(1/5)-1</f>
        <v>7.9222948642090341E-3</v>
      </c>
      <c r="V24">
        <f>(data!V24/data!U24)^(1/5)-1</f>
        <v>7.5938745809005503E-3</v>
      </c>
      <c r="W24">
        <f>(data!W24/data!V24)^(1/5)-1</f>
        <v>6.9330281827291174E-3</v>
      </c>
      <c r="X24">
        <f>(data!X24/data!W24)^(1/5)-1</f>
        <v>7.1928118817630171E-3</v>
      </c>
      <c r="Y24">
        <f>(data!Y24/data!X24)^(1/5)-1</f>
        <v>7.2850064147125249E-3</v>
      </c>
      <c r="Z24">
        <f>(data!Z24/data!Y24)^(1/5)-1</f>
        <v>6.9471261669358242E-3</v>
      </c>
    </row>
    <row r="25" spans="1:26" x14ac:dyDescent="0.55000000000000004">
      <c r="A25" s="2" t="s">
        <v>6</v>
      </c>
      <c r="B25" s="2" t="s">
        <v>13</v>
      </c>
      <c r="C25" s="2" t="s">
        <v>18</v>
      </c>
      <c r="D25" s="2" t="s">
        <v>9</v>
      </c>
      <c r="E25" s="2" t="s">
        <v>10</v>
      </c>
      <c r="G25">
        <f>(data!G25/data!F25)^(1/5)-1</f>
        <v>5.7536279393589185E-2</v>
      </c>
      <c r="H25">
        <f>(data!H25/data!G25)^(1/5)-1</f>
        <v>3.6105849048800875E-2</v>
      </c>
      <c r="I25">
        <f>(data!I25/data!H25)^(1/5)-1</f>
        <v>3.4954220517459778E-2</v>
      </c>
      <c r="J25">
        <f>(data!J25/data!I25)^(1/5)-1</f>
        <v>3.564011196055783E-2</v>
      </c>
      <c r="K25">
        <f>(data!K25/data!J25)^(1/5)-1</f>
        <v>3.3413328778954643E-2</v>
      </c>
      <c r="L25">
        <f>(data!L25/data!K25)^(1/5)-1</f>
        <v>3.1081527514056795E-2</v>
      </c>
      <c r="M25">
        <f>(data!M25/data!L25)^(1/5)-1</f>
        <v>2.7656547280134447E-2</v>
      </c>
      <c r="N25">
        <f>(data!N25/data!M25)^(1/5)-1</f>
        <v>2.268740910683853E-2</v>
      </c>
      <c r="O25">
        <f>(data!O25/data!N25)^(1/5)-1</f>
        <v>1.6915369979673578E-2</v>
      </c>
      <c r="P25">
        <f>(data!P25/data!O25)^(1/5)-1</f>
        <v>1.2368159098250731E-2</v>
      </c>
      <c r="Q25">
        <f>(data!Q25/data!P25)^(1/5)-1</f>
        <v>1.0665344969301938E-2</v>
      </c>
      <c r="R25">
        <f>(data!R25/data!Q25)^(1/5)-1</f>
        <v>1.139760255970379E-2</v>
      </c>
      <c r="S25">
        <f>(data!S25/data!R25)^(1/5)-1</f>
        <v>1.0707401657339188E-2</v>
      </c>
      <c r="T25">
        <f>(data!T25/data!S25)^(1/5)-1</f>
        <v>8.9706273788801028E-3</v>
      </c>
      <c r="U25">
        <f>(data!U25/data!T25)^(1/5)-1</f>
        <v>6.506299267976301E-3</v>
      </c>
      <c r="V25">
        <f>(data!V25/data!U25)^(1/5)-1</f>
        <v>4.9421498203283676E-3</v>
      </c>
      <c r="W25">
        <f>(data!W25/data!V25)^(1/5)-1</f>
        <v>3.9748445212417494E-3</v>
      </c>
      <c r="X25">
        <f>(data!X25/data!W25)^(1/5)-1</f>
        <v>3.5003476928610056E-3</v>
      </c>
      <c r="Y25">
        <f>(data!Y25/data!X25)^(1/5)-1</f>
        <v>3.0778182798647524E-3</v>
      </c>
      <c r="Z25">
        <f>(data!Z25/data!Y25)^(1/5)-1</f>
        <v>2.1262991882500248E-3</v>
      </c>
    </row>
    <row r="26" spans="1:26" x14ac:dyDescent="0.55000000000000004">
      <c r="A26" s="2" t="s">
        <v>6</v>
      </c>
      <c r="B26" s="2" t="s">
        <v>14</v>
      </c>
      <c r="C26" s="2" t="s">
        <v>18</v>
      </c>
      <c r="D26" s="2" t="s">
        <v>9</v>
      </c>
      <c r="E26" s="2" t="s">
        <v>10</v>
      </c>
      <c r="G26">
        <f>(data!G26/data!F26)^(1/5)-1</f>
        <v>5.7536279393589185E-2</v>
      </c>
      <c r="H26">
        <f>(data!H26/data!G26)^(1/5)-1</f>
        <v>3.6105849048800875E-2</v>
      </c>
      <c r="I26">
        <f>(data!I26/data!H26)^(1/5)-1</f>
        <v>3.554307295899517E-2</v>
      </c>
      <c r="J26">
        <f>(data!J26/data!I26)^(1/5)-1</f>
        <v>3.8940043279335201E-2</v>
      </c>
      <c r="K26">
        <f>(data!K26/data!J26)^(1/5)-1</f>
        <v>4.448348492889731E-2</v>
      </c>
      <c r="L26">
        <f>(data!L26/data!K26)^(1/5)-1</f>
        <v>4.6436133725964668E-2</v>
      </c>
      <c r="M26">
        <f>(data!M26/data!L26)^(1/5)-1</f>
        <v>4.3383403798116005E-2</v>
      </c>
      <c r="N26">
        <f>(data!N26/data!M26)^(1/5)-1</f>
        <v>3.5319080559989002E-2</v>
      </c>
      <c r="O26">
        <f>(data!O26/data!N26)^(1/5)-1</f>
        <v>2.7456003871772161E-2</v>
      </c>
      <c r="P26">
        <f>(data!P26/data!O26)^(1/5)-1</f>
        <v>2.132772641489078E-2</v>
      </c>
      <c r="Q26">
        <f>(data!Q26/data!P26)^(1/5)-1</f>
        <v>1.8444524899860593E-2</v>
      </c>
      <c r="R26">
        <f>(data!R26/data!Q26)^(1/5)-1</f>
        <v>1.8322780643472703E-2</v>
      </c>
      <c r="S26">
        <f>(data!S26/data!R26)^(1/5)-1</f>
        <v>1.7611082852999616E-2</v>
      </c>
      <c r="T26">
        <f>(data!T26/data!S26)^(1/5)-1</f>
        <v>1.5570647437920915E-2</v>
      </c>
      <c r="U26">
        <f>(data!U26/data!T26)^(1/5)-1</f>
        <v>1.3070235215224546E-2</v>
      </c>
      <c r="V26">
        <f>(data!V26/data!U26)^(1/5)-1</f>
        <v>1.169729728774449E-2</v>
      </c>
      <c r="W26">
        <f>(data!W26/data!V26)^(1/5)-1</f>
        <v>1.0966051549889944E-2</v>
      </c>
      <c r="X26">
        <f>(data!X26/data!W26)^(1/5)-1</f>
        <v>1.0593599238271967E-2</v>
      </c>
      <c r="Y26">
        <f>(data!Y26/data!X26)^(1/5)-1</f>
        <v>1.0280170682474665E-2</v>
      </c>
      <c r="Z26">
        <f>(data!Z26/data!Y26)^(1/5)-1</f>
        <v>9.4343455935510523E-3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 Rozenberg</cp:lastModifiedBy>
  <dcterms:created xsi:type="dcterms:W3CDTF">2014-07-31T18:22:40Z</dcterms:created>
  <dcterms:modified xsi:type="dcterms:W3CDTF">2015-06-22T21:48:02Z</dcterms:modified>
</cp:coreProperties>
</file>